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Souradeep Das"/>
  <workbookPr/>
  <bookViews>
    <workbookView activeTab="0" xWindow="240" yWindow="60" windowWidth="8300" windowHeight="6540"/>
  </bookViews>
  <sheets>
    <sheet name="Sheet1" sheetId="1" r:id="rId5"/>
    <sheet name="Sheet2" sheetId="2" r:id="rId6"/>
    <sheet name="Sheet4" sheetId="3" r:id="rId7"/>
    <sheet name="Sheet3" sheetId="4" r:id="rId8"/>
    <sheet name="Sheet5" sheetId="5" r:id="rId9"/>
    <sheet name="Sheet6" sheetId="6" r:id="rId10"/>
    <sheet name="Sheet7" sheetId="7" r:id="rId11"/>
    <sheet name="Sheet8" sheetId="8" r:id="rId12"/>
  </sheets>
  <externalReferences>
    <externalReference r:id="rId4"/>
  </externalReferences>
  <calcPr/>
  <extLst>
    <ext uri="smNativeData">
      <pm:revision xmlns:pm="smNativeData" day="19799" val="1230" rev="124" revOS="4" revMin="124" revMax="0"/>
      <pm:docPrefs xmlns:pm="smNativeData" id="19799" fixedDigits="0" showNotice="1" showFrameBounds="1" autoChart="1" recalcOnPrint="1" recalcOnCopy="1" compatTextArt="1" keepXLPalette="1" tab="567" useDefinedPrintRange="1" printArea="currentSheet"/>
      <pm:compatibility xmlns:pm="smNativeData" id="19799" overlapCells="1"/>
      <pm:defCurrency xmlns:pm="smNativeData" id="19799"/>
    </ext>
  </extLst>
</workbook>
</file>

<file path=xl/sharedStrings.xml><?xml version="1.0" encoding="utf-8"?>
<sst xmlns="http://schemas.openxmlformats.org/spreadsheetml/2006/main" count="602" uniqueCount="449">
  <si>
    <t>Er. SUNIL KUMAR</t>
  </si>
  <si>
    <t># 304, Village: Daria,</t>
  </si>
  <si>
    <t>SURVEYOR &amp; LOSS ASSESSOR</t>
  </si>
  <si>
    <t>Near Railway Station, Chandigarh</t>
  </si>
  <si>
    <t>LICENCE NO: 73070   EXPIRY: 08.02.2028</t>
  </si>
  <si>
    <t>Mobile: 098761-35253</t>
  </si>
  <si>
    <t>PAN NO:  AQUPK1480C</t>
  </si>
  <si>
    <t>e-mail:- ksunilsurveyor@gmail.com</t>
  </si>
  <si>
    <t>Ref:</t>
  </si>
  <si>
    <t>SK/2025-26/OICL/116</t>
  </si>
  <si>
    <t>Date:</t>
  </si>
  <si>
    <t>19.02.2026</t>
  </si>
  <si>
    <t>PRIVATE &amp; CONFIDENTIAL SURVEY REPORT</t>
  </si>
  <si>
    <t>The Report is issued by me as Licenced surveyor without prejudice in respect of cause, nature &amp; extent of loss/damages and subject to the terms and conditions of Insurance Policy.</t>
  </si>
  <si>
    <t>policy particulars</t>
  </si>
  <si>
    <t>INSURERS</t>
  </si>
  <si>
    <t>:</t>
  </si>
  <si>
    <t>The Oriental Insurance Co. Ltd.</t>
  </si>
  <si>
    <t>IDV=</t>
  </si>
  <si>
    <t>ADDRESS</t>
  </si>
  <si>
    <t>BO: SCO-52, Sector-42C, Chandigarh</t>
  </si>
  <si>
    <t>98131-</t>
  </si>
  <si>
    <t>Nitu</t>
  </si>
  <si>
    <t>udaanaaa</t>
  </si>
  <si>
    <t>Case allotted by The Oriental Ins. Co. Ltd., RO: SVC, Sector-17, Chd.</t>
  </si>
  <si>
    <r>
      <t xml:space="preserve">COVER NOTE/POLICY NO.   </t>
    </r>
    <r>
      <rPr>
        <rFont val="Times New Roman"/>
        <charset val="0"/>
        <family val="1"/>
        <sz val="10"/>
        <b/>
        <i val="0"/>
      </rPr>
      <t xml:space="preserve">  </t>
    </r>
  </si>
  <si>
    <t>231203/31/2025/7146</t>
  </si>
  <si>
    <t>Period:</t>
  </si>
  <si>
    <t>22.03.2025 to 21.03.2026</t>
  </si>
  <si>
    <t>INSURED</t>
  </si>
  <si>
    <t>Mr JAGDEEP KUMAR</t>
  </si>
  <si>
    <t xml:space="preserve">ADDRESS </t>
  </si>
  <si>
    <t>2563, Sector-9-11, Hissar</t>
  </si>
  <si>
    <t>Gap Report with photos</t>
  </si>
  <si>
    <t>CONTACT NO.</t>
  </si>
  <si>
    <t>95967-72665</t>
  </si>
  <si>
    <t>NCB Verification</t>
  </si>
  <si>
    <t>Previous Policy</t>
  </si>
  <si>
    <t>HPA WITH</t>
  </si>
  <si>
    <t>SBI</t>
  </si>
  <si>
    <t>Vehicle Particulars</t>
  </si>
  <si>
    <t xml:space="preserve"> </t>
  </si>
  <si>
    <t>RC Original Checked &amp; Found In Order</t>
  </si>
  <si>
    <t>Registration No.</t>
  </si>
  <si>
    <t>HR 20AY 7179</t>
  </si>
  <si>
    <t>Date of Registration issue</t>
  </si>
  <si>
    <t>12.04.2024</t>
  </si>
  <si>
    <t>Date of Registration expiry</t>
  </si>
  <si>
    <t>11.04.2039</t>
  </si>
  <si>
    <t>Physically Checked</t>
  </si>
  <si>
    <t>As Per RC</t>
  </si>
  <si>
    <t>As Per Ins.</t>
  </si>
  <si>
    <t>Chassis No</t>
  </si>
  <si>
    <t>033264</t>
  </si>
  <si>
    <t>Engine No</t>
  </si>
  <si>
    <t>Make &amp; Year of Manufacturer</t>
  </si>
  <si>
    <t>SKODA KUSHAQ STYLE 1.0 TSI AT/2023</t>
  </si>
  <si>
    <t>Type of Body</t>
  </si>
  <si>
    <t>Saloon</t>
  </si>
  <si>
    <t>Class of Vehicle</t>
  </si>
  <si>
    <t>LMVCAR</t>
  </si>
  <si>
    <t>Pre-Accident Condition</t>
  </si>
  <si>
    <t>Stated to be normal road worthy</t>
  </si>
  <si>
    <t>Registered Laden Weight</t>
  </si>
  <si>
    <t>----------------</t>
  </si>
  <si>
    <r>
      <t>Fuel used:</t>
    </r>
    <r>
      <rPr>
        <rFont val="Times New Roman"/>
        <charset val="0"/>
        <family val="1"/>
        <sz val="10"/>
        <b val="0"/>
        <i val="0"/>
      </rPr>
      <t xml:space="preserve"> Petrol</t>
    </r>
  </si>
  <si>
    <t>Unladen Weight</t>
  </si>
  <si>
    <t>1277 Kg</t>
  </si>
  <si>
    <t>Colour:</t>
  </si>
  <si>
    <t>C Steel</t>
  </si>
  <si>
    <t xml:space="preserve">Seating Capacity </t>
  </si>
  <si>
    <t>Road Tax Paid Upto</t>
  </si>
  <si>
    <t>LTT</t>
  </si>
  <si>
    <t>Name of Regd. Owner as per RC</t>
  </si>
  <si>
    <t>DRIVER'S PARTICULARS</t>
  </si>
  <si>
    <t>DL Original Checked &amp; Found In Order</t>
  </si>
  <si>
    <t>Name of Driver</t>
  </si>
  <si>
    <t>DOB:</t>
  </si>
  <si>
    <t>07.01.1985</t>
  </si>
  <si>
    <t>Address</t>
  </si>
  <si>
    <t xml:space="preserve">Narnaund, </t>
  </si>
  <si>
    <t>City/State</t>
  </si>
  <si>
    <t>Hisar/Haryana</t>
  </si>
  <si>
    <t>Country:</t>
  </si>
  <si>
    <t>INDIA</t>
  </si>
  <si>
    <t xml:space="preserve">LICENCE NO. </t>
  </si>
  <si>
    <t>HR-21/52074</t>
  </si>
  <si>
    <t>(HR-2120080018996)</t>
  </si>
  <si>
    <t>Date of issue</t>
  </si>
  <si>
    <t>15.01.2008</t>
  </si>
  <si>
    <t>Valid Till</t>
  </si>
  <si>
    <t>14.01.2028</t>
  </si>
  <si>
    <t>Issuing Authority</t>
  </si>
  <si>
    <t>LA-Hansi (NT)</t>
  </si>
  <si>
    <t>Type of Licence</t>
  </si>
  <si>
    <t>Permanent for LMV/MCWG only</t>
  </si>
  <si>
    <t>ACCIDENT HISTORY</t>
  </si>
  <si>
    <t>Date of Accident</t>
  </si>
  <si>
    <t>13.02.2026 about 9:45 AM</t>
  </si>
  <si>
    <t>13.02.2026</t>
  </si>
  <si>
    <t>Place of Accident</t>
  </si>
  <si>
    <t>Sector-34, Chandigarh</t>
  </si>
  <si>
    <t>DETAIL OF SURVEY</t>
  </si>
  <si>
    <t>Date of Allotment of Survey</t>
  </si>
  <si>
    <t>14.02.2026</t>
  </si>
  <si>
    <t>Date and Time of Survey</t>
  </si>
  <si>
    <t>16.02.2026</t>
  </si>
  <si>
    <t xml:space="preserve">and onwards </t>
  </si>
  <si>
    <t>Date of Spot Survey Report Recd.</t>
  </si>
  <si>
    <t>Spot Survey not done.</t>
  </si>
  <si>
    <t>Person Present at the Time of Survey</t>
  </si>
  <si>
    <t>Repairer was present</t>
  </si>
  <si>
    <t>PLACE OF SURVEY</t>
  </si>
  <si>
    <t>Workshop</t>
  </si>
  <si>
    <t>M/s Krishna Auto Sales</t>
  </si>
  <si>
    <t>(Authorosed SKODA Dealer)</t>
  </si>
  <si>
    <t>Plot No. 177-H, Ind. Area, Phase-I, Chandigarh</t>
  </si>
  <si>
    <t>FIR DETAIL</t>
  </si>
  <si>
    <t>Nil (As Per Claim Form)</t>
  </si>
  <si>
    <t>INJURY/THIRD PARTY LOSS</t>
  </si>
  <si>
    <t>CAUSE AND NATURE OF ACCIDENT</t>
  </si>
  <si>
    <t>As stated in the Claim Form,</t>
  </si>
  <si>
    <t>" Insured was going to his office. On the way, another vehicle hit Insured's car from back right side. "</t>
  </si>
  <si>
    <t>OBERVATIONS/COMMENTS</t>
  </si>
  <si>
    <t>As per the instructions of The Oriental Insurance Co Ltd, RO:-Service Centre, Sector-17, Chandigarh. I visited the Repairer's workshop. The Vehicle was carefully inspected, its damages were noted and photographs taken. The Photographs in the Under Repair Condition were also taken. The damages are commensurate with the cause and nature of accident.</t>
  </si>
  <si>
    <t>MAIN DAMAGES</t>
  </si>
  <si>
    <t>Bumper Rear, etc,etc.</t>
  </si>
  <si>
    <t>NOTES:</t>
  </si>
  <si>
    <t>Case allotted by The Oriental Insurance Co Ltd, RO: Service Centre, Sector-17, Chandigarh</t>
  </si>
  <si>
    <t>The loss of damage or liability has arisen proximately caused by the insured peril.</t>
  </si>
  <si>
    <t>None of the exclusion under the policy has is caused loss of damage or liability.</t>
  </si>
  <si>
    <t>The salvage of the vehicle has been destroyed/crushed in the presence of the Repairer.</t>
  </si>
  <si>
    <t>Re-inspection too has been done by me. All the replacemnets of parts and repair job have been dully carried out.</t>
  </si>
  <si>
    <t>At the time of survey, I talked with Insured and discussed about the loss. About the loss, Insured told me the same which is mentioned in the Claim Form.</t>
  </si>
  <si>
    <t>Insured's vehicle has NIL DEPRECIATION Policy.</t>
  </si>
  <si>
    <t>DETAIL OF ASSESSMENT</t>
  </si>
  <si>
    <t xml:space="preserve">CUBIC CAPACITY </t>
  </si>
  <si>
    <t>SO, EXCESS CLAUSE (IN RS.)</t>
  </si>
  <si>
    <t>LIFE OF VEHICLE ( IN YEARS )</t>
  </si>
  <si>
    <t>SO, DEP. ON METAL (IN %)</t>
  </si>
  <si>
    <t>GSTIN (IN %) FOR PARTS</t>
  </si>
  <si>
    <t>GSTIN (IN %) FOR LABOUR</t>
  </si>
  <si>
    <t>GST 18%</t>
  </si>
  <si>
    <t>S.N.</t>
  </si>
  <si>
    <t>Parts Name</t>
  </si>
  <si>
    <t>Estimated</t>
  </si>
  <si>
    <t>Alld--Metal</t>
  </si>
  <si>
    <t>Alld-Plastic</t>
  </si>
  <si>
    <t>Alld--Glass</t>
  </si>
  <si>
    <t>Ret Strip</t>
  </si>
  <si>
    <t>N.A.</t>
  </si>
  <si>
    <t>Foam</t>
  </si>
  <si>
    <t>Cover</t>
  </si>
  <si>
    <t>Spoiler</t>
  </si>
  <si>
    <t>Piece</t>
  </si>
  <si>
    <t>Reflector</t>
  </si>
  <si>
    <t>Trim</t>
  </si>
  <si>
    <t>Bracket</t>
  </si>
  <si>
    <t>Sensor</t>
  </si>
  <si>
    <t>Washer</t>
  </si>
  <si>
    <t>SUB TOTAL</t>
  </si>
  <si>
    <r>
      <t xml:space="preserve">% ADD GST </t>
    </r>
    <r>
      <rPr>
        <rFont val="Times New Roman"/>
        <charset val="0"/>
        <family val="1"/>
        <sz val="8"/>
        <b val="0"/>
        <i val="0"/>
      </rPr>
      <t>(9%CGST+9%SGST)</t>
    </r>
  </si>
  <si>
    <t>LESS DEPRECIATION:</t>
  </si>
  <si>
    <t>% OF METAL &amp; 0% OF PLASTIC</t>
  </si>
  <si>
    <t>NET FOR PARTS</t>
  </si>
  <si>
    <t>TOTAL NET FOR PARTS</t>
  </si>
  <si>
    <t>TOTAL AMOUNT OF DEPRECIATION (In Rs):</t>
  </si>
  <si>
    <t>LABOUR DETAIL</t>
  </si>
  <si>
    <t>LABOUR ESTIMATED</t>
  </si>
  <si>
    <t>DESCRIPTION</t>
  </si>
  <si>
    <t>R/R</t>
  </si>
  <si>
    <t>DENTING</t>
  </si>
  <si>
    <t>C/W</t>
  </si>
  <si>
    <t>PAINTING</t>
  </si>
  <si>
    <t>Bumper Rear</t>
  </si>
  <si>
    <t>QTR Panel RH</t>
  </si>
  <si>
    <t>Tail Light RH &amp; LH</t>
  </si>
  <si>
    <t>TOTAL (R/R, DENTING, C/W, PAINTING)</t>
  </si>
  <si>
    <t xml:space="preserve">LABOUR </t>
  </si>
  <si>
    <t>Assessed</t>
  </si>
  <si>
    <t>NET FOR LABOUR</t>
  </si>
  <si>
    <t>TOTAL AMOUNT OF LABOUR ASSESSED (in Rs):</t>
  </si>
  <si>
    <t>SUMMARY</t>
  </si>
  <si>
    <t>PARTS</t>
  </si>
  <si>
    <t>LABOUR</t>
  </si>
  <si>
    <t>LESS EXCESS CLAUSE</t>
  </si>
  <si>
    <t>NET PAYABLE</t>
  </si>
  <si>
    <t xml:space="preserve">LESS SALVAGE VALUE </t>
  </si>
  <si>
    <t>NET PAYABLE AMOUNT</t>
  </si>
  <si>
    <t>Report issued without prejudice or bias and is subject to the term and condition of the Policy and subject claim document being found in order. The Repairer/Insured has concurred with assessment.The damages are commensurate with the cause and nature of accident. The rates allowed are as per Authorised Dealer/Market rates which ever is less. Claim Form, Estimate, SF Bill, Photographs, Photocopies of RC, DL, C.Note, etc etc are enclosed.</t>
  </si>
  <si>
    <t>Physically Verified Major Assemblies</t>
  </si>
  <si>
    <t>Chassis Number</t>
  </si>
  <si>
    <t>Engine Number</t>
  </si>
  <si>
    <t xml:space="preserve">              SUNIL KUMAR</t>
  </si>
  <si>
    <r>
      <t>PAYMENT MADE IN THE FAVOUR OF</t>
    </r>
    <r>
      <rPr>
        <rFont val="Times New Roman"/>
        <charset val="0"/>
        <family val="1"/>
        <sz val="10"/>
        <b/>
        <i val="0"/>
      </rPr>
      <t xml:space="preserve"> REPAIRER</t>
    </r>
  </si>
  <si>
    <t>CASHLESS CLAIM</t>
  </si>
  <si>
    <t>Date of Registration/isurance</t>
  </si>
  <si>
    <t>MOTOR SURVEY REPORT</t>
  </si>
  <si>
    <t>INSURER</t>
  </si>
  <si>
    <t>VEHICLE REG. NO.</t>
  </si>
  <si>
    <t>C.NOTE/POLICY NO.</t>
  </si>
  <si>
    <t xml:space="preserve">PERIOD </t>
  </si>
  <si>
    <t>DATE OF LOSS</t>
  </si>
  <si>
    <t>PAYMENT TO BE MADE IN THE FAVOUR OF REPAIRER</t>
  </si>
  <si>
    <t>CLAIM NUMBER:-</t>
  </si>
  <si>
    <t>230011/31/2026/000</t>
  </si>
  <si>
    <t>DSR ON DATED:</t>
  </si>
  <si>
    <t>REPORT SUBMITTED BY:</t>
  </si>
  <si>
    <t xml:space="preserve">          # 304, Village: Daria,</t>
  </si>
  <si>
    <t xml:space="preserve">          Near Railway Station, Chandigarh</t>
  </si>
  <si>
    <t xml:space="preserve">          Mobile: 098761-35253</t>
  </si>
  <si>
    <t xml:space="preserve">          e-mail:- ksunilsurveyor@gmail.com</t>
  </si>
  <si>
    <t>Head Office, A-25/27, Asaf Ali Road, New Delhi-110002</t>
  </si>
  <si>
    <t>Vehicle No.:</t>
  </si>
  <si>
    <t>OWNER Name:</t>
  </si>
  <si>
    <t>Documents Check List</t>
  </si>
  <si>
    <t>DEP./CASH RECIECPT</t>
  </si>
  <si>
    <t>Insured Mobile No. on Claim Form /Intimation</t>
  </si>
  <si>
    <t>Intimation Letter and Correspondence related to it.</t>
  </si>
  <si>
    <t>Claim Form</t>
  </si>
  <si>
    <t>Surveyor Appointment Letter</t>
  </si>
  <si>
    <t>Policy Copy</t>
  </si>
  <si>
    <t>DL</t>
  </si>
  <si>
    <t>RC (Road Tax Receipt for Temp. RC)</t>
  </si>
  <si>
    <t xml:space="preserve">Insured ID Proof </t>
  </si>
  <si>
    <t>64VB</t>
  </si>
  <si>
    <t>NCB</t>
  </si>
  <si>
    <t>Staisfaction Voucher</t>
  </si>
  <si>
    <t>Spot Survey Report (if any)</t>
  </si>
  <si>
    <t>Claim Estimate</t>
  </si>
  <si>
    <t>Bill</t>
  </si>
  <si>
    <t>Approval for supplementry estimate (if any)</t>
  </si>
  <si>
    <t>Final Survey Report</t>
  </si>
  <si>
    <t>Document Check Lists</t>
  </si>
  <si>
    <t>Pre Inspection</t>
  </si>
  <si>
    <t>Photographs</t>
  </si>
  <si>
    <t>Damage Photos</t>
  </si>
  <si>
    <t>Under Repair Photo</t>
  </si>
  <si>
    <t>Reinspection Photos</t>
  </si>
  <si>
    <t>Additional Documents for NET OF SALVAGE</t>
  </si>
  <si>
    <t>Interim Report</t>
  </si>
  <si>
    <t>Loan Statement From Bank</t>
  </si>
  <si>
    <t>DL &amp; RC Verification</t>
  </si>
  <si>
    <t>Consent Letter from Insured</t>
  </si>
  <si>
    <t>PAN Card</t>
  </si>
  <si>
    <t>Invoice of Vehicle</t>
  </si>
  <si>
    <t>Three Online quotes for wreck</t>
  </si>
  <si>
    <t>Affidavit in case no DDR/FIR/SPOT</t>
  </si>
  <si>
    <t>PAYMENT MADE IN THE FAVOUR OF REPAIRER</t>
  </si>
  <si>
    <t>ANNEXURE II</t>
  </si>
  <si>
    <t xml:space="preserve">             Surveyor's Performance Appraisal (SPA) Form</t>
  </si>
  <si>
    <t>(to be filled in by the Surveyor and submitted along with Survey Report)</t>
  </si>
  <si>
    <t>Office Code</t>
  </si>
  <si>
    <t>Policy No.</t>
  </si>
  <si>
    <t>Name of Office/Address</t>
  </si>
  <si>
    <t>Insured</t>
  </si>
  <si>
    <t>Name of Surveyor</t>
  </si>
  <si>
    <t>Mr SUNIL KUMAR</t>
  </si>
  <si>
    <t>Claim No.</t>
  </si>
  <si>
    <t>Survey Report No.</t>
  </si>
  <si>
    <t>IIISLA Membership No./</t>
  </si>
  <si>
    <t>IRDAI Licence No.</t>
  </si>
  <si>
    <t>Valid Upto</t>
  </si>
  <si>
    <t>08.02.2028</t>
  </si>
  <si>
    <t>Date of Loss:</t>
  </si>
  <si>
    <t>Date of Appointment of Surveyor</t>
  </si>
  <si>
    <t>3.    a</t>
  </si>
  <si>
    <t>Date of First Visit to site</t>
  </si>
  <si>
    <t xml:space="preserve">       b</t>
  </si>
  <si>
    <t>Date of Submission of 'Intial Loss Advice'</t>
  </si>
  <si>
    <t>Dates of subsequent visits</t>
  </si>
  <si>
    <t>Date of submission of Interim Report, if any</t>
  </si>
  <si>
    <t>Date of submission of Final Report</t>
  </si>
  <si>
    <t>Reasons for delay in submission of report, if any</t>
  </si>
  <si>
    <t xml:space="preserve">Whether consent for assessment obtained from the Insured / Claimant        </t>
  </si>
  <si>
    <t>Yes/No</t>
  </si>
  <si>
    <t>Number of times documents were requisitioned from the Insured (excluding reminders)</t>
  </si>
  <si>
    <t>(if more than 2 times, reason thereof)</t>
  </si>
  <si>
    <t>Remarks</t>
  </si>
  <si>
    <t>Place:_______________________</t>
  </si>
  <si>
    <t>Date:_______________________</t>
  </si>
  <si>
    <t>(Signature of the Surveyor)</t>
  </si>
  <si>
    <t>For Office use:-</t>
  </si>
  <si>
    <t>(to be filed in by the Claim Officer alongside settlement of each claim)</t>
  </si>
  <si>
    <t>Parameters</t>
  </si>
  <si>
    <t>Primary Claim Dealin</t>
  </si>
  <si>
    <t>Score</t>
  </si>
  <si>
    <t xml:space="preserve">     Officer</t>
  </si>
  <si>
    <t>Timely submission of survey report</t>
  </si>
  <si>
    <t>1-10</t>
  </si>
  <si>
    <t>(Please refer to Policy for marking)</t>
  </si>
  <si>
    <t>Error free and unambiguous survey report-</t>
  </si>
  <si>
    <t>Fair assessment</t>
  </si>
  <si>
    <t>Quick Response to queries raised, if any</t>
  </si>
  <si>
    <t>Suggenstion for risk improvement</t>
  </si>
  <si>
    <t>Feedback from the customer</t>
  </si>
  <si>
    <t>Ten point scale - Outstanding being (10) and Poor being ( 1 ):</t>
  </si>
  <si>
    <t>Signature:</t>
  </si>
  <si>
    <t>Name:</t>
  </si>
  <si>
    <t>Designation:</t>
  </si>
  <si>
    <t>Office:</t>
  </si>
  <si>
    <t xml:space="preserve">Date: </t>
  </si>
  <si>
    <t xml:space="preserve"># 304, Village: Daria, </t>
  </si>
  <si>
    <t>LICENCE NO: 73070  EXPIRY: 08.02.2028</t>
  </si>
  <si>
    <t>E-mail: ksunilsurveyor@gmail.com</t>
  </si>
  <si>
    <t>SURVEY FEE BILL</t>
  </si>
  <si>
    <t xml:space="preserve">                                                                                                 </t>
  </si>
  <si>
    <t>VEHICLE/ITEM</t>
  </si>
  <si>
    <t>C NOTE/POLICY NO.</t>
  </si>
  <si>
    <t>SURVEY FEE</t>
  </si>
  <si>
    <t>Rs</t>
  </si>
  <si>
    <t>CONVEYANCE CHARGES</t>
  </si>
  <si>
    <t>PHOTOGRAPHS</t>
  </si>
  <si>
    <t>(Digital Photographs)</t>
  </si>
  <si>
    <t>DAILY ALLOWANCE</t>
  </si>
  <si>
    <t>MISCELLANEOUS</t>
  </si>
  <si>
    <t>----------------------</t>
  </si>
  <si>
    <t>TOTAL</t>
  </si>
  <si>
    <t>INLYAS CODE:</t>
  </si>
  <si>
    <t>GH0000046246</t>
  </si>
  <si>
    <r>
      <t xml:space="preserve">     </t>
    </r>
    <r>
      <rPr>
        <rFont val="Times New Roman"/>
        <charset val="0"/>
        <family val="1"/>
        <sz val="10"/>
        <b/>
        <i val="0"/>
        <u val="single"/>
      </rPr>
      <t>FOR NEFT PAYMENT</t>
    </r>
  </si>
  <si>
    <t>(SUNIL KUMAR)</t>
  </si>
  <si>
    <t xml:space="preserve">     BANK ACCOUNT DETAILS</t>
  </si>
  <si>
    <t xml:space="preserve">     BANK NAME:</t>
  </si>
  <si>
    <t>BANK OF INDIA</t>
  </si>
  <si>
    <t xml:space="preserve">     A/C NUMBER:</t>
  </si>
  <si>
    <t>620110110000751</t>
  </si>
  <si>
    <t xml:space="preserve">     A/C TYPE:</t>
  </si>
  <si>
    <t>SAVING</t>
  </si>
  <si>
    <t xml:space="preserve">     IFSC CODE:</t>
  </si>
  <si>
    <t>BKID0006201</t>
  </si>
  <si>
    <t xml:space="preserve">     MICRO CODE:</t>
  </si>
  <si>
    <t>160013003</t>
  </si>
  <si>
    <t>ITEM WISE BREAK UP DETAILS IN SETTLEMENT SHEET</t>
  </si>
  <si>
    <t>ITEM DESCRIPTION</t>
  </si>
  <si>
    <t>NET AMOUNT (AFTER DEP.)</t>
  </si>
  <si>
    <t>GST %</t>
  </si>
  <si>
    <t>GST AMOUNT</t>
  </si>
  <si>
    <t>Labour</t>
  </si>
  <si>
    <t>Parts Metallic</t>
  </si>
  <si>
    <t>Parts Non-Metallic</t>
  </si>
  <si>
    <t>Plastic</t>
  </si>
  <si>
    <t>Glass</t>
  </si>
  <si>
    <t>Other</t>
  </si>
  <si>
    <t>Less: Excess Clause @18%</t>
  </si>
  <si>
    <t>Less: Salvage Amount @18%</t>
  </si>
  <si>
    <t>Total</t>
  </si>
  <si>
    <t>GST Excess</t>
  </si>
  <si>
    <t>GST Salvage</t>
  </si>
  <si>
    <t>G.TOTAL</t>
  </si>
  <si>
    <t>GST Amount Entered in Settlement Screen</t>
  </si>
  <si>
    <t>Settle Amount</t>
  </si>
  <si>
    <t>GST</t>
  </si>
  <si>
    <t>EST_72 Ptovision in INLIAS</t>
  </si>
  <si>
    <t>Rs.</t>
  </si>
  <si>
    <t>NET LIABILITY</t>
  </si>
  <si>
    <t>SK/2024-25/OICL/058</t>
  </si>
  <si>
    <t>16.06.2024</t>
  </si>
  <si>
    <t>PRIVATE &amp; CONFIDENTIAL MOTOR RE-INSPECTION SURVEY REPORT</t>
  </si>
  <si>
    <t>The report is issued by me as Licenced surveyor without prejudice in respect of cause, nature &amp; extent of loss/damages and subject to the terms and conditions of Insurance Policy.</t>
  </si>
  <si>
    <t xml:space="preserve">To, </t>
  </si>
  <si>
    <t xml:space="preserve">The Oriental Insurance Co. Ltd., </t>
  </si>
  <si>
    <t>RO: SVC, Sector-17, Chandigarh.</t>
  </si>
  <si>
    <t xml:space="preserve">Sub: </t>
  </si>
  <si>
    <t xml:space="preserve">Reinspection of </t>
  </si>
  <si>
    <t>CH 01CH  8815</t>
  </si>
  <si>
    <t xml:space="preserve">A/C </t>
  </si>
  <si>
    <t>Mr YUDHISHTER</t>
  </si>
  <si>
    <t xml:space="preserve">         Date of Accident:</t>
  </si>
  <si>
    <t>03.06.2024</t>
  </si>
  <si>
    <t>C. No.</t>
  </si>
  <si>
    <t>242596/31/2024/TMP/185254</t>
  </si>
  <si>
    <t>01.03.2024 to 28.02.2025</t>
  </si>
  <si>
    <t>Sir,</t>
  </si>
  <si>
    <t xml:space="preserve">In pursuance to the instructions received from your office, the undersigned went to the workshop, M/s RSA Dynamic Motors LLP, Zirakpur for re-inspection of the vehicle under claim. Undersigned inspected the vehicle on 13.06.2024  and arranged  few photographs. </t>
  </si>
  <si>
    <t xml:space="preserve">Fllowing are the details: </t>
  </si>
  <si>
    <t>Whether all parts allowed for replacement by final survey report have been actually been replaced</t>
  </si>
  <si>
    <t>with the new parts. The details are as under:</t>
  </si>
  <si>
    <t>Particulars</t>
  </si>
  <si>
    <t>Salvage</t>
  </si>
  <si>
    <t>Frt Bumper</t>
  </si>
  <si>
    <t>Replaced</t>
  </si>
  <si>
    <t>Examined</t>
  </si>
  <si>
    <t>Fender LH</t>
  </si>
  <si>
    <t>Fender Cladding LH</t>
  </si>
  <si>
    <t>Wheel Arch Frt LH Bumper</t>
  </si>
  <si>
    <t>Rear Bumper</t>
  </si>
  <si>
    <t>Tailgater Tail Lamp LH</t>
  </si>
  <si>
    <t>Bracket Frt LH</t>
  </si>
  <si>
    <t>Tail Lamp Outer LH</t>
  </si>
  <si>
    <t>Salvage:</t>
  </si>
  <si>
    <t>The salvage has been checked and found to contain the replaced parts.</t>
  </si>
  <si>
    <t>Labour/Repair</t>
  </si>
  <si>
    <t>The Repair have been carried out as per final survey report and car was in proper running condition at</t>
  </si>
  <si>
    <t>the time of re-inspection.</t>
  </si>
  <si>
    <t xml:space="preserve">In the view of above re-inspection, what is the total quantam of reduction in the liability. The reduction in liability is nil. </t>
  </si>
  <si>
    <t>The re-inspection report is " without prejudice"</t>
  </si>
  <si>
    <t>Thanking you</t>
  </si>
  <si>
    <t>Enclosures:</t>
  </si>
  <si>
    <t>Final survey report</t>
  </si>
  <si>
    <t xml:space="preserve">Re-inspection report &amp; photographs </t>
  </si>
  <si>
    <t>Survey fee bill</t>
  </si>
  <si>
    <t>I have physically verified the following Major Assembilies:</t>
  </si>
  <si>
    <t>Chassis No.</t>
  </si>
  <si>
    <t>Engine No.</t>
  </si>
  <si>
    <t xml:space="preserve">          SUMMARY ASSESSMENT FOR SETTLEMENT OF CLAIM</t>
  </si>
  <si>
    <t>SURVEY REPORT NO.</t>
  </si>
  <si>
    <t>CLAIM NO. ALLOTTED ONLINE BY DEALER</t>
  </si>
  <si>
    <t>242596/31/2025/TMPC/14752</t>
  </si>
  <si>
    <t>NAME OF INSURED</t>
  </si>
  <si>
    <t>POLICY NO.</t>
  </si>
  <si>
    <t>PERIOD OF INSURANCE</t>
  </si>
  <si>
    <t>VEHICLE REGISTRATION NO.</t>
  </si>
  <si>
    <t>MAKE OF VEHICLE &amp; MODEL</t>
  </si>
  <si>
    <t>ACCIDENT PARTICULARS</t>
  </si>
  <si>
    <t>DATE &amp; TIME OF ACCIDENT</t>
  </si>
  <si>
    <t>PLACE OF ACCIDENT</t>
  </si>
  <si>
    <t>POLICE REPORT- FIR/DDR NO. (IF ANY)</t>
  </si>
  <si>
    <t>Nil ( As per Claim Form )</t>
  </si>
  <si>
    <t>CAUSE OF  ACCIDENT</t>
  </si>
  <si>
    <t>DRIVING LICENCE PARTICULARS</t>
  </si>
  <si>
    <t>NAME OF DRIVER</t>
  </si>
  <si>
    <t>DRIVING LICENCE NO.</t>
  </si>
  <si>
    <t>VALIDITY OF THE LICENCE</t>
  </si>
  <si>
    <t>LICENCE ISSUING AUTHORITY</t>
  </si>
  <si>
    <t>TYPE OF LICENCE</t>
  </si>
  <si>
    <t xml:space="preserve">TOTAL ESTIMATE OF LOSS (INCUDING LABOUR &amp; PARTS) </t>
  </si>
  <si>
    <t>PARTS (METAL, RUBBER/GLASS &amp; GLASS)</t>
  </si>
  <si>
    <t>INCLUDING VAT (IF APPLICABLE)</t>
  </si>
  <si>
    <t>LABOUR- R/R, CUTTING/WELDING, ETC.</t>
  </si>
  <si>
    <t>COST OF PAINT (IF ASSESSED SEPARATELY)</t>
  </si>
  <si>
    <t>PAINTING CHARGES</t>
  </si>
  <si>
    <t>GST (ON LABOUR)</t>
  </si>
  <si>
    <t>TOWING CHARGES IF ANY</t>
  </si>
  <si>
    <t>SALVAGE-IF DEDUCTABLE</t>
  </si>
  <si>
    <t>EXCESS CLAUSE-DEDUCTABLE</t>
  </si>
  <si>
    <t>ANY OTHER ASSESSMENT (DIFF.)</t>
  </si>
  <si>
    <t>NET PAYABLE AMOUNT (in Rs)</t>
  </si>
  <si>
    <t>DETAIL OF SURVEY FEE</t>
  </si>
  <si>
    <t>PROFESSIONAL FESS</t>
  </si>
  <si>
    <t>COVEYANCE &amp; PHOTOGRAPHS CHARGES</t>
  </si>
  <si>
    <t>GST (IF CHARGEABLE)</t>
  </si>
  <si>
    <t>SIGNATURE OF SURVEYOR (WITH SEAL)</t>
  </si>
  <si>
    <t>FOR OFFICE USE:</t>
  </si>
  <si>
    <t>REMARKS/RECOMMENDATIONS</t>
  </si>
  <si>
    <t>AGREED &amp; RECOMMENDED FOR</t>
  </si>
  <si>
    <t>Rs………………………………………</t>
  </si>
  <si>
    <t>SIGNATURE (Name &amp; Designation)</t>
  </si>
  <si>
    <t>AUTHORISED SIGNATURE</t>
  </si>
</sst>
</file>

<file path=xl/styles.xml><?xml version="1.0" encoding="utf-8"?>
<styleSheet xmlns="http://schemas.openxmlformats.org/spreadsheetml/2006/main">
  <numFmts count="21">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M/D/YYYY;@"/>
    <numFmt numFmtId="169" formatCode="[$-409]MMMMM\-YY;@"/>
    <numFmt numFmtId="9" formatCode="0%"/>
    <numFmt numFmtId="2" formatCode="0.00"/>
    <numFmt numFmtId="17" formatCode="MMM-YY"/>
    <numFmt numFmtId="4" formatCode="#,##0.00"/>
    <numFmt numFmtId="1" formatCode="0"/>
    <numFmt numFmtId="18" formatCode="h:mm AM/PM"/>
    <numFmt numFmtId="16" formatCode="D-MMM"/>
  </numFmts>
  <fonts count="43">
    <font>
      <name val="Times New Roman"/>
      <family val="1"/>
      <color rgb="FF000000"/>
      <sz val="9"/>
      <extLst>
        <ext uri="smNativeData">
          <pm:charSpec xmlns:pm="smNativeData" id="19799" ulstyle="none">
            <pm:latin face="Times New Roman" sz="180" lang="default"/>
            <pm:cs face="Times New Roman" sz="180" lang="default"/>
            <pm:ea face="SimSun" sz="180" lang="default"/>
          </pm:charSpec>
        </ext>
      </extLst>
    </font>
    <font>
      <name val="Arial"/>
      <family val="2"/>
      <color rgb="FF000000"/>
      <sz val="10"/>
      <extLst>
        <ext uri="smNativeData">
          <pm:charSpec xmlns:pm="smNativeData" id="19799" ulstyle="none" kern="1">
            <pm:latin face="Arial" sz="200" lang="default"/>
            <pm:cs face="Times New Roman" sz="200" lang="default"/>
            <pm:ea face="SimSun" sz="200" lang="default"/>
          </pm:charSpec>
        </ext>
      </extLst>
    </font>
    <font>
      <name val="Times New Roman"/>
      <family val="1"/>
      <color rgb="FF000000"/>
      <sz val="10"/>
      <extLst>
        <ext uri="smNativeData">
          <pm:charSpec xmlns:pm="smNativeData" id="19799" ulstyle="none">
            <pm:latin face="Times New Roman" sz="200" lang="default"/>
            <pm:cs face="Times New Roman" sz="200" lang="default"/>
            <pm:ea face="SimSun" sz="200" lang="default"/>
          </pm:charSpec>
        </ext>
      </extLst>
    </font>
    <font>
      <name val="Times New Roman"/>
      <family val="1"/>
      <b/>
      <color rgb="FF000000"/>
      <sz val="10"/>
      <extLst>
        <ext uri="smNativeData">
          <pm:charSpec xmlns:pm="smNativeData" id="19799" ulstyle="none">
            <pm:latin face="Times New Roman" sz="200" lang="default" weight="bold"/>
            <pm:cs face="Times New Roman" sz="200" lang="default" weight="bold"/>
            <pm:ea face="SimSun" sz="200" lang="default" weight="bold"/>
          </pm:charSpec>
        </ext>
      </extLst>
    </font>
    <font>
      <name val="Times New Roman"/>
      <family val="1"/>
      <b/>
      <color rgb="FF000000"/>
      <sz val="11"/>
      <extLst>
        <ext uri="smNativeData">
          <pm:charSpec xmlns:pm="smNativeData" id="19799" ulstyle="none">
            <pm:latin face="Times New Roman" sz="220" lang="default" weight="bold"/>
            <pm:cs face="Times New Roman" sz="220" lang="default" weight="bold"/>
            <pm:ea face="SimSun" sz="220" lang="default" weight="bold"/>
          </pm:charSpec>
        </ext>
      </extLst>
    </font>
    <font>
      <name val="Times New Roman"/>
      <family val="1"/>
      <b/>
      <color rgb="FF000000"/>
      <sz val="10"/>
      <u val="single"/>
      <extLst>
        <ext uri="smNativeData">
          <pm:charSpec xmlns:pm="smNativeData" id="19799" ulstyle="single">
            <pm:latin face="Times New Roman" sz="200" lang="default" weight="bold"/>
            <pm:cs face="Times New Roman" sz="200" lang="default" weight="bold"/>
            <pm:ea face="SimSun" sz="200" lang="default" weight="bold"/>
          </pm:charSpec>
        </ext>
      </extLst>
    </font>
    <font>
      <name val="Times New Roman"/>
      <family val="1"/>
      <color rgb="FF0000FF"/>
      <sz val="9"/>
      <u val="single"/>
      <extLst>
        <ext uri="smNativeData">
          <pm:charSpec xmlns:pm="smNativeData" id="19799" fgClr="0000FF" ulstyle="single">
            <pm:latin face="Times New Roman" sz="180" lang="default"/>
            <pm:cs face="Times New Roman" sz="180" lang="default"/>
            <pm:ea face="SimSun" sz="180" lang="default"/>
          </pm:charSpec>
        </ext>
      </extLst>
    </font>
    <font>
      <name val="Times New Roman"/>
      <family val="1"/>
      <color rgb="FF7F007F"/>
      <sz val="9"/>
      <u val="single"/>
      <extLst>
        <ext uri="smNativeData">
          <pm:charSpec xmlns:pm="smNativeData" id="19799" fgClr="7F007F" ulstyle="single">
            <pm:latin face="Times New Roman" sz="180" lang="default"/>
            <pm:cs face="Times New Roman" sz="180" lang="default"/>
            <pm:ea face="SimSun" sz="180" lang="default"/>
          </pm:charSpec>
        </ext>
      </extLst>
    </font>
    <font>
      <name val="Times New Roman"/>
      <family val="1"/>
      <color rgb="FF000000"/>
      <sz val="10"/>
      <u val="single"/>
      <extLst>
        <ext uri="smNativeData">
          <pm:charSpec xmlns:pm="smNativeData" id="19799" ulstyle="single">
            <pm:latin face="Times New Roman" sz="200" lang="default"/>
            <pm:cs face="Times New Roman" sz="200" lang="default"/>
            <pm:ea face="SimSun" sz="200" lang="default"/>
          </pm:charSpec>
        </ext>
      </extLst>
    </font>
    <font>
      <name val="Times New Roman"/>
      <family val="1"/>
      <b/>
      <color rgb="FF000000"/>
      <sz val="12"/>
      <extLst>
        <ext uri="smNativeData">
          <pm:charSpec xmlns:pm="smNativeData" id="19799" ulstyle="none">
            <pm:latin face="Times New Roman" sz="240" lang="default" weight="bold"/>
            <pm:cs face="Times New Roman" sz="240" lang="default" weight="bold"/>
            <pm:ea face="SimSun" sz="240" lang="default" weight="bold"/>
          </pm:charSpec>
        </ext>
      </extLst>
    </font>
    <font>
      <name val="Times New Roman"/>
      <family val="1"/>
      <color rgb="FF000000"/>
      <sz val="12"/>
      <extLst>
        <ext uri="smNativeData">
          <pm:charSpec xmlns:pm="smNativeData" id="19799" ulstyle="none">
            <pm:latin face="Times New Roman" sz="240" lang="default"/>
            <pm:cs face="Times New Roman" sz="240" lang="default"/>
            <pm:ea face="SimSun" sz="240" lang="default"/>
          </pm:charSpec>
        </ext>
      </extLst>
    </font>
    <font>
      <name val="Times New Roman"/>
      <family val="1"/>
      <b/>
      <color rgb="FF000000"/>
      <sz val="14"/>
      <u val="single"/>
      <extLst>
        <ext uri="smNativeData">
          <pm:charSpec xmlns:pm="smNativeData" id="19799" ulstyle="single">
            <pm:latin face="Times New Roman" sz="280" lang="default" weight="bold"/>
            <pm:cs face="Times New Roman" sz="280" lang="default" weight="bold"/>
            <pm:ea face="SimSun" sz="280" lang="default" weight="bold"/>
          </pm:charSpec>
        </ext>
      </extLst>
    </font>
    <font>
      <name val="Times New Roman"/>
      <family val="1"/>
      <color rgb="FF000000"/>
      <sz val="11"/>
      <extLst>
        <ext uri="smNativeData">
          <pm:charSpec xmlns:pm="smNativeData" id="19799" ulstyle="none">
            <pm:latin face="Times New Roman" sz="220" lang="default"/>
            <pm:cs face="Times New Roman" sz="220" lang="default"/>
            <pm:ea face="SimSun" sz="220" lang="default"/>
          </pm:charSpec>
        </ext>
      </extLst>
    </font>
    <font>
      <name val="Times New Roman"/>
      <family val="1"/>
      <b/>
      <color rgb="FF000000"/>
      <sz val="14"/>
      <extLst>
        <ext uri="smNativeData">
          <pm:charSpec xmlns:pm="smNativeData" id="19799" ulstyle="none">
            <pm:latin face="Times New Roman" sz="280" lang="default" weight="bold"/>
            <pm:cs face="Times New Roman" sz="280" lang="default" weight="bold"/>
            <pm:ea face="SimSun" sz="280" lang="default" weight="bold"/>
          </pm:charSpec>
        </ext>
      </extLst>
    </font>
    <font>
      <name val="Times New Roman"/>
      <family val="1"/>
      <b/>
      <color rgb="FF000000"/>
      <sz val="18"/>
      <extLst>
        <ext uri="smNativeData">
          <pm:charSpec xmlns:pm="smNativeData" id="19799" ulstyle="none">
            <pm:latin face="Times New Roman" sz="360" lang="default" weight="bold"/>
            <pm:cs face="Times New Roman" sz="360" lang="default" weight="bold"/>
            <pm:ea face="SimSun" sz="360" lang="default" weight="bold"/>
          </pm:charSpec>
        </ext>
      </extLst>
    </font>
    <font>
      <name val="Times New Roman"/>
      <family val="1"/>
      <color rgb="FF000000"/>
      <sz val="14"/>
      <extLst>
        <ext uri="smNativeData">
          <pm:charSpec xmlns:pm="smNativeData" id="19799" ulstyle="none">
            <pm:latin face="Times New Roman" sz="280" lang="default"/>
            <pm:cs face="Times New Roman" sz="280" lang="default"/>
            <pm:ea face="SimSun" sz="280" lang="default"/>
          </pm:charSpec>
        </ext>
      </extLst>
    </font>
    <font>
      <name val="Times New Roman"/>
      <family val="1"/>
      <b/>
      <color rgb="FF000000"/>
      <sz val="11"/>
      <u val="single"/>
      <extLst>
        <ext uri="smNativeData">
          <pm:charSpec xmlns:pm="smNativeData" id="19799" ulstyle="single">
            <pm:latin face="Times New Roman" sz="220" lang="default" weight="bold"/>
            <pm:cs face="Times New Roman" sz="220" lang="default" weight="bold"/>
            <pm:ea face="SimSun" sz="220" lang="default" weight="bold"/>
          </pm:charSpec>
        </ext>
      </extLst>
    </font>
    <font>
      <name val="Times New Roman"/>
      <family val="1"/>
      <b/>
      <color rgb="FFFFFFFF"/>
      <sz val="11"/>
      <extLst>
        <ext uri="smNativeData">
          <pm:charSpec xmlns:pm="smNativeData" id="19799" fgClr="FFFFFF" ulstyle="none">
            <pm:latin face="Times New Roman" sz="220" lang="default" weight="bold"/>
            <pm:cs face="Times New Roman" sz="220" lang="default" weight="bold"/>
            <pm:ea face="SimSun" sz="220" lang="default" weight="bold"/>
          </pm:charSpec>
        </ext>
      </extLst>
    </font>
    <font>
      <name val="Times New Roman"/>
      <family val="1"/>
      <color rgb="FFFFFFFF"/>
      <sz val="10"/>
      <extLst>
        <ext uri="smNativeData">
          <pm:charSpec xmlns:pm="smNativeData" id="19799" fgClr="FFFFFF" ulstyle="none">
            <pm:latin face="Times New Roman" sz="200" lang="default"/>
            <pm:cs face="Times New Roman" sz="200" lang="default"/>
            <pm:ea face="SimSun" sz="200" lang="default"/>
          </pm:charSpec>
        </ext>
      </extLst>
    </font>
    <font>
      <name val="Calibri"/>
      <family val="2"/>
      <color rgb="FF000000"/>
      <sz val="11"/>
      <extLst>
        <ext uri="smNativeData">
          <pm:charSpec xmlns:pm="smNativeData" id="19799" ulstyle="none">
            <pm:latin face="Calibri" sz="220" lang="default"/>
            <pm:cs face="Times New Roman" sz="220" lang="default"/>
            <pm:ea face="SimSun" sz="220" lang="default"/>
          </pm:charSpec>
        </ext>
      </extLst>
    </font>
    <font>
      <name val="Calibri"/>
      <family val="2"/>
      <color rgb="FFFFFFFF"/>
      <sz val="11"/>
      <extLst>
        <ext uri="smNativeData">
          <pm:charSpec xmlns:pm="smNativeData" id="19799" fgClr="FFFFFF" ulstyle="none">
            <pm:latin face="Calibri" sz="220" lang="default"/>
            <pm:cs face="Times New Roman" sz="220" lang="default"/>
            <pm:ea face="SimSun" sz="220" lang="default"/>
          </pm:charSpec>
        </ext>
      </extLst>
    </font>
    <font>
      <name val="Calibri"/>
      <family val="2"/>
      <color rgb="FF7F007F"/>
      <sz val="11"/>
      <extLst>
        <ext uri="smNativeData">
          <pm:charSpec xmlns:pm="smNativeData" id="19799" fgClr="7F007F" ulstyle="none">
            <pm:latin face="Calibri" sz="220" lang="default"/>
            <pm:cs face="Times New Roman" sz="220" lang="default"/>
            <pm:ea face="SimSun" sz="220" lang="default"/>
          </pm:charSpec>
        </ext>
      </extLst>
    </font>
    <font>
      <name val="Calibri"/>
      <family val="2"/>
      <b/>
      <color rgb="FFFF9900"/>
      <sz val="11"/>
      <extLst>
        <ext uri="smNativeData">
          <pm:charSpec xmlns:pm="smNativeData" id="19799" fgClr="FF9900" ulstyle="none">
            <pm:latin face="Calibri" sz="220" lang="default" weight="bold"/>
            <pm:cs face="Times New Roman" sz="220" lang="default" weight="bold"/>
            <pm:ea face="SimSun" sz="220" lang="default" weight="bold"/>
          </pm:charSpec>
        </ext>
      </extLst>
    </font>
    <font>
      <name val="Calibri"/>
      <family val="2"/>
      <b/>
      <color rgb="FFFFFFFF"/>
      <sz val="11"/>
      <extLst>
        <ext uri="smNativeData">
          <pm:charSpec xmlns:pm="smNativeData" id="19799" fgClr="FFFFFF" ulstyle="none">
            <pm:latin face="Calibri" sz="220" lang="default" weight="bold"/>
            <pm:cs face="Times New Roman" sz="220" lang="default" weight="bold"/>
            <pm:ea face="SimSun" sz="220" lang="default" weight="bold"/>
          </pm:charSpec>
        </ext>
      </extLst>
    </font>
    <font>
      <name val="Calibri"/>
      <family val="2"/>
      <i/>
      <color rgb="FF7F7F7F"/>
      <sz val="11"/>
      <extLst>
        <ext uri="smNativeData">
          <pm:charSpec xmlns:pm="smNativeData" id="19799" fgClr="7F7F7F" ulstyle="none">
            <pm:latin face="Calibri" sz="220" lang="default" i="1"/>
            <pm:cs face="Times New Roman" sz="220" lang="default" i="1"/>
            <pm:ea face="SimSun" sz="220" lang="default" i="1"/>
          </pm:charSpec>
        </ext>
      </extLst>
    </font>
    <font>
      <name val="Calibri"/>
      <family val="2"/>
      <color rgb="FF007F00"/>
      <sz val="11"/>
      <extLst>
        <ext uri="smNativeData">
          <pm:charSpec xmlns:pm="smNativeData" id="19799" fgClr="007F00" ulstyle="none">
            <pm:latin face="Calibri" sz="220" lang="default"/>
            <pm:cs face="Times New Roman" sz="220" lang="default"/>
            <pm:ea face="SimSun" sz="220" lang="default"/>
          </pm:charSpec>
        </ext>
      </extLst>
    </font>
    <font>
      <name val="Calibri"/>
      <family val="2"/>
      <b/>
      <color rgb="FF003366"/>
      <sz val="15"/>
      <extLst>
        <ext uri="smNativeData">
          <pm:charSpec xmlns:pm="smNativeData" id="19799" fgClr="003366" ulstyle="none">
            <pm:latin face="Calibri" sz="300" lang="default" weight="bold"/>
            <pm:cs face="Times New Roman" sz="300" lang="default" weight="bold"/>
            <pm:ea face="SimSun" sz="300" lang="default" weight="bold"/>
          </pm:charSpec>
        </ext>
      </extLst>
    </font>
    <font>
      <name val="Calibri"/>
      <family val="2"/>
      <b/>
      <color rgb="FF003366"/>
      <sz val="13"/>
      <extLst>
        <ext uri="smNativeData">
          <pm:charSpec xmlns:pm="smNativeData" id="19799" fgClr="003366" ulstyle="none">
            <pm:latin face="Calibri" sz="260" lang="default" weight="bold"/>
            <pm:cs face="Times New Roman" sz="260" lang="default" weight="bold"/>
            <pm:ea face="SimSun" sz="260" lang="default" weight="bold"/>
          </pm:charSpec>
        </ext>
      </extLst>
    </font>
    <font>
      <name val="Calibri"/>
      <family val="2"/>
      <b/>
      <color rgb="FF003366"/>
      <sz val="11"/>
      <extLst>
        <ext uri="smNativeData">
          <pm:charSpec xmlns:pm="smNativeData" id="19799" fgClr="003366" ulstyle="none">
            <pm:latin face="Calibri" sz="220" lang="default" weight="bold"/>
            <pm:cs face="Times New Roman" sz="220" lang="default" weight="bold"/>
            <pm:ea face="SimSun" sz="220" lang="default" weight="bold"/>
          </pm:charSpec>
        </ext>
      </extLst>
    </font>
    <font>
      <name val="Calibri"/>
      <family val="2"/>
      <color rgb="FF333399"/>
      <sz val="11"/>
      <extLst>
        <ext uri="smNativeData">
          <pm:charSpec xmlns:pm="smNativeData" id="19799" fgClr="333399" ulstyle="none">
            <pm:latin face="Calibri" sz="220" lang="default"/>
            <pm:cs face="Times New Roman" sz="220" lang="default"/>
            <pm:ea face="SimSun" sz="220" lang="default"/>
          </pm:charSpec>
        </ext>
      </extLst>
    </font>
    <font>
      <name val="Calibri"/>
      <family val="2"/>
      <color rgb="FFFF9900"/>
      <sz val="11"/>
      <extLst>
        <ext uri="smNativeData">
          <pm:charSpec xmlns:pm="smNativeData" id="19799" fgClr="FF9900" ulstyle="none">
            <pm:latin face="Calibri" sz="220" lang="default"/>
            <pm:cs face="Times New Roman" sz="220" lang="default"/>
            <pm:ea face="SimSun" sz="220" lang="default"/>
          </pm:charSpec>
        </ext>
      </extLst>
    </font>
    <font>
      <name val="Calibri"/>
      <family val="2"/>
      <color rgb="FF993300"/>
      <sz val="11"/>
      <extLst>
        <ext uri="smNativeData">
          <pm:charSpec xmlns:pm="smNativeData" id="19799" fgClr="993300" ulstyle="none">
            <pm:latin face="Calibri" sz="220" lang="default"/>
            <pm:cs face="Times New Roman" sz="220" lang="default"/>
            <pm:ea face="SimSun" sz="220" lang="default"/>
          </pm:charSpec>
        </ext>
      </extLst>
    </font>
    <font>
      <name val="Calibri"/>
      <family val="2"/>
      <b/>
      <color rgb="FF333333"/>
      <sz val="11"/>
      <extLst>
        <ext uri="smNativeData">
          <pm:charSpec xmlns:pm="smNativeData" id="19799" fgClr="333333" ulstyle="none">
            <pm:latin face="Calibri" sz="220" lang="default" weight="bold"/>
            <pm:cs face="Times New Roman" sz="220" lang="default" weight="bold"/>
            <pm:ea face="SimSun" sz="220" lang="default" weight="bold"/>
          </pm:charSpec>
        </ext>
      </extLst>
    </font>
    <font>
      <name val="Cambria"/>
      <family val="1"/>
      <b/>
      <color rgb="FF003366"/>
      <sz val="18"/>
      <extLst>
        <ext uri="smNativeData">
          <pm:charSpec xmlns:pm="smNativeData" id="19799" fgClr="003366" ulstyle="none">
            <pm:latin face="Cambria" sz="360" lang="default" weight="bold"/>
            <pm:cs face="Times New Roman" sz="360" lang="default" weight="bold"/>
            <pm:ea face="SimSun" sz="360" lang="default" weight="bold"/>
          </pm:charSpec>
        </ext>
      </extLst>
    </font>
    <font>
      <name val="Calibri"/>
      <family val="2"/>
      <b/>
      <color rgb="FF000000"/>
      <sz val="11"/>
      <extLst>
        <ext uri="smNativeData">
          <pm:charSpec xmlns:pm="smNativeData" id="19799" ulstyle="none">
            <pm:latin face="Calibri" sz="220" lang="default" weight="bold"/>
            <pm:cs face="Times New Roman" sz="220" lang="default" weight="bold"/>
            <pm:ea face="SimSun" sz="220" lang="default" weight="bold"/>
          </pm:charSpec>
        </ext>
      </extLst>
    </font>
    <font>
      <name val="Calibri"/>
      <family val="2"/>
      <color rgb="FFFF0000"/>
      <sz val="11"/>
      <extLst>
        <ext uri="smNativeData">
          <pm:charSpec xmlns:pm="smNativeData" id="19799" fgClr="FF0000" ulstyle="none">
            <pm:latin face="Calibri" sz="220" lang="default"/>
            <pm:cs face="Times New Roman" sz="220" lang="default"/>
            <pm:ea face="SimSun" sz="220" lang="default"/>
          </pm:charSpec>
        </ext>
      </extLst>
    </font>
    <font>
      <name val="Times New Roman"/>
      <family val="1"/>
      <color rgb="FF003366"/>
      <sz val="11"/>
      <extLst>
        <ext uri="smNativeData">
          <pm:charSpec xmlns:pm="smNativeData" id="19799" fgClr="003366" ulstyle="none">
            <pm:latin face="Times New Roman" sz="220" lang="default"/>
            <pm:cs face="Times New Roman" sz="220" lang="default"/>
            <pm:ea face="SimSun" sz="220" lang="default"/>
          </pm:charSpec>
        </ext>
      </extLst>
    </font>
    <font>
      <name val="Times New Roman"/>
      <family val="1"/>
      <b/>
      <color rgb="FFFF0000"/>
      <sz val="12"/>
      <extLst>
        <ext uri="smNativeData">
          <pm:charSpec xmlns:pm="smNativeData" id="19799" fgClr="FF0000" ulstyle="none">
            <pm:latin face="Times New Roman" sz="240" lang="default" weight="bold"/>
            <pm:cs face="Times New Roman" sz="240" lang="default" weight="bold"/>
            <pm:ea face="SimSun" sz="240" lang="default" weight="bold"/>
          </pm:charSpec>
        </ext>
      </extLst>
    </font>
    <font>
      <name val="Times New Roman"/>
      <family val="1"/>
      <color rgb="FFFF0000"/>
      <sz val="10"/>
      <extLst>
        <ext uri="smNativeData">
          <pm:charSpec xmlns:pm="smNativeData" id="19799" fgClr="FF0000" ulstyle="none">
            <pm:latin face="Times New Roman" sz="200" lang="default"/>
            <pm:cs face="Times New Roman" sz="200" lang="default"/>
            <pm:ea face="SimSun" sz="200" lang="default"/>
          </pm:charSpec>
        </ext>
      </extLst>
    </font>
    <font>
      <name val="Times New Roman"/>
      <family val="1"/>
      <b/>
      <color rgb="FFFF0000"/>
      <sz val="10"/>
      <extLst>
        <ext uri="smNativeData">
          <pm:charSpec xmlns:pm="smNativeData" id="19799" fgClr="FF0000" ulstyle="none">
            <pm:latin face="Times New Roman" sz="200" lang="default" weight="bold"/>
            <pm:cs face="Times New Roman" sz="200" lang="default" weight="bold"/>
            <pm:ea face="SimSun" sz="200" lang="default" weight="bold"/>
          </pm:charSpec>
        </ext>
      </extLst>
    </font>
    <font>
      <name val="Times New Roman"/>
      <family val="1"/>
      <b/>
      <color rgb="FF000000"/>
      <sz val="10"/>
      <extLst>
        <ext uri="smNativeData">
          <pm:charSpec xmlns:pm="smNativeData" id="19799" ulstyle="none">
            <pm:latin face="Times New Roman" sz="200" lang="default" weight="bold"/>
            <pm:cs face="Times New Roman" sz="200" lang="default"/>
            <pm:ea face="SimSun" sz="200" lang="default"/>
          </pm:charSpec>
        </ext>
      </extLst>
    </font>
    <font>
      <name val="Times New Roman"/>
      <family val="1"/>
      <color rgb="FF000000"/>
      <sz val="10"/>
      <extLst>
        <ext uri="smNativeData">
          <pm:charSpec xmlns:pm="smNativeData" id="19799" ulstyle="none">
            <pm:latin face="Times New Roman" sz="200" lang="default"/>
            <pm:cs face="Times New Roman" sz="200" lang="default" weight="bold"/>
            <pm:ea face="SimSun" sz="200" lang="default" weight="bold"/>
          </pm:charSpec>
        </ext>
      </extLst>
    </font>
    <font>
      <name val="Times New Roman"/>
      <family val="1"/>
      <color rgb="FF000000"/>
      <sz val="8"/>
      <extLst>
        <ext uri="smNativeData">
          <pm:charSpec xmlns:pm="smNativeData" id="19799" ulstyle="none">
            <pm:latin face="Times New Roman" sz="160" lang="default"/>
            <pm:cs face="Times New Roman" sz="200" lang="default"/>
            <pm:ea face="SimSun" sz="200" lang="default"/>
          </pm:charSpec>
        </ext>
      </extLst>
    </font>
  </fonts>
  <fills count="72">
    <fill>
      <patternFill patternType="none"/>
    </fill>
    <fill>
      <patternFill patternType="gray125"/>
    </fill>
    <fill>
      <patternFill patternType="solid">
        <fgColor rgb="FFCCCCFF"/>
        <bgColor rgb="FFFFFFFF"/>
        <extLst>
          <ext uri="smNativeData">
            <pm:shade xmlns:pm="smNativeData" id="19799" type="1" fgLvl="100" fgClr="00CCCCFF" bgLvl="100" bgClr="00FFFFFF"/>
          </ext>
        </extLst>
      </patternFill>
    </fill>
    <fill>
      <patternFill patternType="solid">
        <fgColor rgb="FFFF99CC"/>
        <bgColor rgb="FFFFFFFF"/>
        <extLst>
          <ext uri="smNativeData">
            <pm:shade xmlns:pm="smNativeData" id="19799" type="1" fgLvl="100" fgClr="00FF99CC" bgLvl="100" bgClr="00FFFFFF"/>
          </ext>
        </extLst>
      </patternFill>
    </fill>
    <fill>
      <patternFill patternType="solid">
        <fgColor rgb="FFCCFFCC"/>
        <bgColor rgb="FFFFFFFF"/>
        <extLst>
          <ext uri="smNativeData">
            <pm:shade xmlns:pm="smNativeData" id="19799" type="1" fgLvl="100" fgClr="00CCFFCC" bgLvl="100" bgClr="00FFFFFF"/>
          </ext>
        </extLst>
      </patternFill>
    </fill>
    <fill>
      <patternFill patternType="solid">
        <fgColor rgb="FFCC99FF"/>
        <bgColor rgb="FFFFFFFF"/>
        <extLst>
          <ext uri="smNativeData">
            <pm:shade xmlns:pm="smNativeData" id="19799" type="1" fgLvl="100" fgClr="00CC99FF" bgLvl="100" bgClr="00FFFFFF"/>
          </ext>
        </extLst>
      </patternFill>
    </fill>
    <fill>
      <patternFill patternType="solid">
        <fgColor rgb="FFCCFFFF"/>
        <bgColor rgb="FFFFFFFF"/>
        <extLst>
          <ext uri="smNativeData">
            <pm:shade xmlns:pm="smNativeData" id="19799" type="1" fgLvl="100" fgClr="00CCFFFF" bgLvl="100" bgClr="00FFFFFF"/>
          </ext>
        </extLst>
      </patternFill>
    </fill>
    <fill>
      <patternFill patternType="solid">
        <fgColor rgb="FFFFCC99"/>
        <bgColor rgb="FFFFFFFF"/>
        <extLst>
          <ext uri="smNativeData">
            <pm:shade xmlns:pm="smNativeData" id="19799" type="1" fgLvl="100" fgClr="00FFCC99" bgLvl="100" bgClr="00FFFFFF"/>
          </ext>
        </extLst>
      </patternFill>
    </fill>
    <fill>
      <patternFill patternType="solid">
        <fgColor rgb="FF99CCFF"/>
        <bgColor rgb="FFFFFFFF"/>
        <extLst>
          <ext uri="smNativeData">
            <pm:shade xmlns:pm="smNativeData" id="19799" type="1" fgLvl="100" fgClr="0099CCFF" bgLvl="100" bgClr="00FFFFFF"/>
          </ext>
        </extLst>
      </patternFill>
    </fill>
    <fill>
      <patternFill patternType="solid">
        <fgColor rgb="FFFF8080"/>
        <bgColor rgb="FFFFFFFF"/>
        <extLst>
          <ext uri="smNativeData">
            <pm:shade xmlns:pm="smNativeData" id="19799" type="1" fgLvl="100" fgClr="00FF8080" bgLvl="100" bgClr="00FFFFFF"/>
          </ext>
        </extLst>
      </patternFill>
    </fill>
    <fill>
      <patternFill patternType="solid">
        <fgColor rgb="FF00FF00"/>
        <bgColor rgb="FFFFFFFF"/>
        <extLst>
          <ext uri="smNativeData">
            <pm:shade xmlns:pm="smNativeData" id="19799" type="1" fgLvl="100" fgClr="0000FF00" bgLvl="100" bgClr="00FFFFFF"/>
          </ext>
        </extLst>
      </patternFill>
    </fill>
    <fill>
      <patternFill patternType="solid">
        <fgColor rgb="FFFFCC00"/>
        <bgColor rgb="FFFFFFFF"/>
        <extLst>
          <ext uri="smNativeData">
            <pm:shade xmlns:pm="smNativeData" id="19799" type="1" fgLvl="100" fgClr="00FFCC00" bgLvl="100" bgClr="00FFFFFF"/>
          </ext>
        </extLst>
      </patternFill>
    </fill>
    <fill>
      <patternFill patternType="solid">
        <fgColor rgb="FF0066CC"/>
        <bgColor rgb="FFFFFFFF"/>
        <extLst>
          <ext uri="smNativeData">
            <pm:shade xmlns:pm="smNativeData" id="19799" type="1" fgLvl="100" fgClr="000066CC" bgLvl="100" bgClr="00FFFFFF"/>
          </ext>
        </extLst>
      </patternFill>
    </fill>
    <fill>
      <patternFill patternType="solid">
        <fgColor rgb="FF7F007F"/>
        <bgColor rgb="FFFFFFFF"/>
        <extLst>
          <ext uri="smNativeData">
            <pm:shade xmlns:pm="smNativeData" id="19799" type="1" fgLvl="100" fgClr="007F007F" bgLvl="100" bgClr="00FFFFFF"/>
          </ext>
        </extLst>
      </patternFill>
    </fill>
    <fill>
      <patternFill patternType="solid">
        <fgColor rgb="FF33CCCC"/>
        <bgColor rgb="FFFFFFFF"/>
        <extLst>
          <ext uri="smNativeData">
            <pm:shade xmlns:pm="smNativeData" id="19799" type="1" fgLvl="100" fgClr="0033CCCC" bgLvl="100" bgClr="00FFFFFF"/>
          </ext>
        </extLst>
      </patternFill>
    </fill>
    <fill>
      <patternFill patternType="solid">
        <fgColor rgb="FFFF9900"/>
        <bgColor rgb="FFFFFFFF"/>
        <extLst>
          <ext uri="smNativeData">
            <pm:shade xmlns:pm="smNativeData" id="19799" type="1" fgLvl="100" fgClr="00FF9900" bgLvl="100" bgClr="00FFFFFF"/>
          </ext>
        </extLst>
      </patternFill>
    </fill>
    <fill>
      <patternFill patternType="solid">
        <fgColor rgb="FF333399"/>
        <bgColor rgb="FFFFFFFF"/>
        <extLst>
          <ext uri="smNativeData">
            <pm:shade xmlns:pm="smNativeData" id="19799" type="1" fgLvl="100" fgClr="00333399" bgLvl="100" bgClr="00FFFFFF"/>
          </ext>
        </extLst>
      </patternFill>
    </fill>
    <fill>
      <patternFill patternType="solid">
        <fgColor rgb="FFFF0000"/>
        <bgColor rgb="FFFFFFFF"/>
        <extLst>
          <ext uri="smNativeData">
            <pm:shade xmlns:pm="smNativeData" id="19799" type="1" fgLvl="100" fgClr="00FF0000" bgLvl="100" bgClr="00FFFFFF"/>
          </ext>
        </extLst>
      </patternFill>
    </fill>
    <fill>
      <patternFill patternType="solid">
        <fgColor rgb="FF339966"/>
        <bgColor rgb="FFFFFFFF"/>
        <extLst>
          <ext uri="smNativeData">
            <pm:shade xmlns:pm="smNativeData" id="19799" type="1" fgLvl="100" fgClr="00339966" bgLvl="100" bgClr="00FFFFFF"/>
          </ext>
        </extLst>
      </patternFill>
    </fill>
    <fill>
      <patternFill patternType="solid">
        <fgColor rgb="FFFF6600"/>
        <bgColor rgb="FFFFFFFF"/>
        <extLst>
          <ext uri="smNativeData">
            <pm:shade xmlns:pm="smNativeData" id="19799" type="1" fgLvl="100" fgClr="00FF6600" bgLvl="100" bgClr="00FFFFFF"/>
          </ext>
        </extLst>
      </patternFill>
    </fill>
    <fill>
      <patternFill patternType="solid">
        <fgColor rgb="FFC0C0C0"/>
        <bgColor rgb="FFFFFFFF"/>
        <extLst>
          <ext uri="smNativeData">
            <pm:shade xmlns:pm="smNativeData" id="19799" type="1" fgLvl="100" fgClr="00C0C0C0" bgLvl="100" bgClr="00FFFFFF"/>
          </ext>
        </extLst>
      </patternFill>
    </fill>
    <fill>
      <patternFill patternType="solid">
        <fgColor rgb="FF999999"/>
        <bgColor rgb="FFFFFFFF"/>
        <extLst>
          <ext uri="smNativeData">
            <pm:shade xmlns:pm="smNativeData" id="19799" type="1" fgLvl="100" fgClr="00999999" bgLvl="100" bgClr="00FFFFFF"/>
          </ext>
        </extLst>
      </patternFill>
    </fill>
    <fill>
      <patternFill patternType="none"/>
    </fill>
    <fill>
      <patternFill patternType="none"/>
    </fill>
    <fill>
      <patternFill patternType="none"/>
    </fill>
    <fill>
      <patternFill patternType="solid">
        <fgColor rgb="FFFFCC99"/>
        <bgColor rgb="FFFFFFFF"/>
        <extLst>
          <ext uri="smNativeData">
            <pm:shade xmlns:pm="smNativeData" id="19799" type="1" fgLvl="100" fgClr="00FFCC99" bgLvl="100" bgClr="00FFFFFF"/>
          </ext>
        </extLst>
      </patternFill>
    </fill>
    <fill>
      <patternFill patternType="none"/>
    </fill>
    <fill>
      <patternFill patternType="solid">
        <fgColor rgb="FFFFFF99"/>
        <bgColor rgb="FFFFFFFF"/>
        <extLst>
          <ext uri="smNativeData">
            <pm:shade xmlns:pm="smNativeData" id="19799" type="1" fgLvl="100" fgClr="00FFFF99" bgLvl="100" bgClr="00FFFFFF"/>
          </ext>
        </extLst>
      </patternFill>
    </fill>
    <fill>
      <patternFill patternType="solid">
        <fgColor rgb="FFFFFFCC"/>
        <bgColor rgb="FFFFFFFF"/>
        <extLst>
          <ext uri="smNativeData">
            <pm:shade xmlns:pm="smNativeData" id="19799" type="1" fgLvl="100" fgClr="00FFFFCC" bgLvl="100" bgClr="00FFFFFF"/>
          </ext>
        </extLst>
      </patternFill>
    </fill>
    <fill>
      <patternFill patternType="solid">
        <fgColor rgb="FFC0C0C0"/>
        <bgColor rgb="FFFFFFFF"/>
        <extLst>
          <ext uri="smNativeData">
            <pm:shade xmlns:pm="smNativeData" id="19799" type="1" fgLvl="100" fgClr="00C0C0C0" bgLvl="100" bgClr="00FFFFFF"/>
          </ext>
        </extLst>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7F7F7F"/>
        <bgColor rgb="FFFFFFFF"/>
        <extLst>
          <ext uri="smNativeData">
            <pm:shade xmlns:pm="smNativeData" id="19799" type="1" fgLvl="100" fgClr="007F7F7F" bgLvl="100" bgClr="00000000"/>
          </ext>
        </extLst>
      </patternFill>
    </fill>
    <fill>
      <patternFill patternType="solid">
        <fgColor rgb="FF7F7F7F"/>
        <bgColor rgb="FFFFFFFF"/>
        <extLst>
          <ext uri="smNativeData">
            <pm:shade xmlns:pm="smNativeData" id="19799" type="1" fgLvl="100" fgClr="007F7F7F"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999999"/>
        <bgColor rgb="FFFFFFFF"/>
        <extLst>
          <ext uri="smNativeData">
            <pm:shade xmlns:pm="smNativeData" id="19799" type="1" fgLvl="100" fgClr="00999999"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C0C0C0"/>
        <bgColor rgb="FFFFFFFF"/>
        <extLst>
          <ext uri="smNativeData">
            <pm:shade xmlns:pm="smNativeData" id="19799" type="1" fgLvl="100" fgClr="00C0C0C0" bgLvl="100" bgClr="00000000"/>
          </ext>
        </extLst>
      </patternFill>
    </fill>
    <fill>
      <patternFill patternType="solid">
        <fgColor rgb="FF999999"/>
        <bgColor rgb="FFFFFFFF"/>
        <extLst>
          <ext uri="smNativeData">
            <pm:shade xmlns:pm="smNativeData" id="19799" type="1" fgLvl="100" fgClr="00999999" bgLvl="100" bgClr="00000000"/>
          </ext>
        </extLst>
      </patternFill>
    </fill>
    <fill>
      <patternFill patternType="solid">
        <fgColor rgb="FF999999"/>
        <bgColor rgb="FFFFFFFF"/>
        <extLst>
          <ext uri="smNativeData">
            <pm:shade xmlns:pm="smNativeData" id="19799" type="1" fgLvl="100" fgClr="00999999" bgLvl="100" bgClr="00000000"/>
          </ext>
        </extLst>
      </patternFill>
    </fill>
    <fill>
      <patternFill patternType="solid">
        <fgColor rgb="FF999999"/>
        <bgColor rgb="FFFFFFFF"/>
        <extLst>
          <ext uri="smNativeData">
            <pm:shade xmlns:pm="smNativeData" id="19799" type="1" fgLvl="100" fgClr="00999999" bgLvl="100" bgClr="00000000"/>
          </ext>
        </extLst>
      </patternFill>
    </fill>
    <fill>
      <patternFill patternType="none"/>
    </fill>
    <fill>
      <patternFill patternType="none"/>
    </fill>
    <fill>
      <patternFill patternType="none"/>
    </fill>
    <fill>
      <patternFill patternType="solid">
        <fgColor rgb="FFFFFFFF"/>
        <bgColor rgb="FFFFFFFF"/>
        <extLst>
          <ext uri="smNativeData">
            <pm:shade xmlns:pm="smNativeData" id="19799" type="1" fgLvl="100" fgClr="00FFFFFF" bgLvl="100" bgClr="00000000"/>
          </ext>
        </extLst>
      </patternFill>
    </fill>
  </fills>
  <borders count="71">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thin">
        <color rgb="FF7F7F7F"/>
      </left>
      <right style="thin">
        <color rgb="FF7F7F7F"/>
      </right>
      <top style="thin">
        <color rgb="FF7F7F7F"/>
      </top>
      <bottom style="thin">
        <color rgb="FF7F7F7F"/>
      </bottom>
      <extLst>
        <ext uri="smNativeData">
          <pm:border xmlns:pm="smNativeData" id="19799">
            <pm:line position="top" type="1" style="0" width="20" dist="20" width2="20" rgb="7F7F7F"/>
            <pm:line position="bottom" type="1" style="0" width="20" dist="20" width2="20" rgb="7F7F7F"/>
            <pm:line position="left" type="1" style="0" width="20" dist="20" width2="20" rgb="7F7F7F"/>
            <pm:line position="right" type="1" style="0" width="20" dist="20" width2="20" rgb="7F7F7F"/>
          </pm:border>
        </ext>
      </extLst>
    </border>
    <border>
      <left style="double">
        <color rgb="FF333333"/>
      </left>
      <right style="double">
        <color rgb="FF333333"/>
      </right>
      <top style="double">
        <color rgb="FF333333"/>
      </top>
      <bottom style="double">
        <color rgb="FF333333"/>
      </bottom>
      <extLst>
        <ext uri="smNativeData">
          <pm:border xmlns:pm="smNativeData" id="19799">
            <pm:line position="top" type="2" style="0" width="20" dist="20" width2="20" rgb="333333"/>
            <pm:line position="bottom" type="2" style="0" width="20" dist="20" width2="20" rgb="333333"/>
            <pm:line position="left" type="2" style="0" width="20" dist="20" width2="20" rgb="333333"/>
            <pm:line position="right" type="2" style="0" width="20" dist="20" width2="20" rgb="333333"/>
          </pm:border>
        </ext>
      </extLst>
    </border>
    <border>
      <left style="none">
        <color rgb="FF000000"/>
      </left>
      <right style="none">
        <color rgb="FF000000"/>
      </right>
      <top style="none">
        <color rgb="FF000000"/>
      </top>
      <bottom style="thick">
        <color rgb="FF333399"/>
      </bottom>
      <extLst>
        <ext uri="smNativeData">
          <pm:border xmlns:pm="smNativeData" id="19799">
            <pm:line position="bottom" type="1" style="0" width="50" dist="20" width2="20" rgb="333399"/>
          </pm:border>
        </ext>
      </extLst>
    </border>
    <border>
      <left style="none">
        <color rgb="FF000000"/>
      </left>
      <right style="none">
        <color rgb="FF000000"/>
      </right>
      <top style="none">
        <color rgb="FF000000"/>
      </top>
      <bottom style="thick">
        <color rgb="FFC0C0C0"/>
      </bottom>
      <extLst>
        <ext uri="smNativeData">
          <pm:border xmlns:pm="smNativeData" id="19799">
            <pm:line position="bottom" type="1" style="0" width="50" dist="20" width2="20" rgb="C0C0C0"/>
          </pm:border>
        </ext>
      </extLst>
    </border>
    <border>
      <left style="none">
        <color rgb="FF000000"/>
      </left>
      <right style="none">
        <color rgb="FF000000"/>
      </right>
      <top style="none">
        <color rgb="FF000000"/>
      </top>
      <bottom style="medium">
        <color rgb="FF0066CC"/>
      </bottom>
      <extLst>
        <ext uri="smNativeData">
          <pm:border xmlns:pm="smNativeData" id="19799">
            <pm:line position="bottom" type="1" style="0" width="30" dist="20" width2="20" rgb="0066CC"/>
          </pm:border>
        </ext>
      </extLst>
    </border>
    <border>
      <left style="thin">
        <color rgb="FF7F7F7F"/>
      </left>
      <right style="thin">
        <color rgb="FF7F7F7F"/>
      </right>
      <top style="thin">
        <color rgb="FF7F7F7F"/>
      </top>
      <bottom style="thin">
        <color rgb="FF7F7F7F"/>
      </bottom>
      <extLst>
        <ext uri="smNativeData">
          <pm:border xmlns:pm="smNativeData" id="19799">
            <pm:line position="top" type="1" style="0" width="20" dist="20" width2="20" rgb="7F7F7F"/>
            <pm:line position="bottom" type="1" style="0" width="20" dist="20" width2="20" rgb="7F7F7F"/>
            <pm:line position="left" type="1" style="0" width="20" dist="20" width2="20" rgb="7F7F7F"/>
            <pm:line position="right" type="1" style="0" width="20" dist="20" width2="20" rgb="7F7F7F"/>
          </pm:border>
        </ext>
      </extLst>
    </border>
    <border>
      <left style="none">
        <color rgb="FF000000"/>
      </left>
      <right style="none">
        <color rgb="FF000000"/>
      </right>
      <top style="none">
        <color rgb="FF000000"/>
      </top>
      <bottom style="double">
        <color rgb="FFFF9900"/>
      </bottom>
      <extLst>
        <ext uri="smNativeData">
          <pm:border xmlns:pm="smNativeData" id="19799">
            <pm:line position="bottom" type="2" style="0" width="20" dist="20" width2="20" rgb="FF9900"/>
          </pm:border>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thin">
        <color rgb="FFC0C0C0"/>
      </left>
      <right style="thin">
        <color rgb="FFC0C0C0"/>
      </right>
      <top style="thin">
        <color rgb="FFC0C0C0"/>
      </top>
      <bottom style="thin">
        <color rgb="FFC0C0C0"/>
      </bottom>
      <extLst>
        <ext uri="smNativeData">
          <pm:border xmlns:pm="smNativeData" id="19799">
            <pm:line position="top" type="1" style="0" width="20" dist="20" width2="20" rgb="C0C0C0"/>
            <pm:line position="bottom" type="1" style="0" width="20" dist="20" width2="20" rgb="C0C0C0"/>
            <pm:line position="left" type="1" style="0" width="20" dist="20" width2="20" rgb="C0C0C0"/>
            <pm:line position="right" type="1" style="0" width="20" dist="20" width2="20" rgb="C0C0C0"/>
          </pm:border>
        </ext>
      </extLst>
    </border>
    <border>
      <left style="thin">
        <color rgb="FF333333"/>
      </left>
      <right style="thin">
        <color rgb="FF333333"/>
      </right>
      <top style="thin">
        <color rgb="FF333333"/>
      </top>
      <bottom style="thin">
        <color rgb="FF333333"/>
      </bottom>
      <extLst>
        <ext uri="smNativeData">
          <pm:border xmlns:pm="smNativeData" id="19799">
            <pm:line position="top" type="1" style="0" width="20" dist="20" width2="20" rgb="333333"/>
            <pm:line position="bottom" type="1" style="0" width="20" dist="20" width2="20" rgb="333333"/>
            <pm:line position="left" type="1" style="0" width="20" dist="20" width2="20" rgb="333333"/>
            <pm:line position="right" type="1" style="0" width="20" dist="20" width2="20" rgb="333333"/>
          </pm:border>
        </ext>
      </extLst>
    </border>
    <border>
      <left style="none">
        <color rgb="FF000000"/>
      </left>
      <right style="none">
        <color rgb="FF000000"/>
      </right>
      <top style="thin">
        <color rgb="FF333399"/>
      </top>
      <bottom style="double">
        <color rgb="FF333399"/>
      </bottom>
      <extLst>
        <ext uri="smNativeData">
          <pm:border xmlns:pm="smNativeData" id="19799">
            <pm:line position="top" type="1" style="0" width="20" dist="20" width2="20" rgb="333399"/>
            <pm:line position="bottom" type="2" style="0" width="20" dist="20" width2="20" rgb="333399"/>
          </pm:border>
        </ext>
      </extLst>
    </border>
    <border>
      <left style="thin">
        <color rgb="FF000000"/>
      </left>
      <right style="none">
        <color rgb="FF000000"/>
      </right>
      <top style="none">
        <color rgb="FF000000"/>
      </top>
      <bottom style="none">
        <color rgb="FF000000"/>
      </bottom>
      <extLst>
        <ext uri="smNativeData">
          <pm:border xmlns:pm="smNativeData" id="19799">
            <pm:line position="left" type="1" style="0" width="20" dist="20" width2="20" rgb="000000"/>
          </pm:border>
        </ext>
      </extLst>
    </border>
    <border>
      <left style="none">
        <color rgb="FF000000"/>
      </left>
      <right style="thin">
        <color rgb="FF000000"/>
      </right>
      <top style="none">
        <color rgb="FF000000"/>
      </top>
      <bottom style="none">
        <color rgb="FF000000"/>
      </bottom>
      <extLst>
        <ext uri="smNativeData">
          <pm:border xmlns:pm="smNativeData" id="19799">
            <pm:line position="right" type="1" style="0" width="20" dist="20" width2="20" rgb="000000"/>
          </pm:border>
        </ext>
      </extLst>
    </border>
    <border>
      <left style="thin">
        <color rgb="FF000000"/>
      </left>
      <right style="none">
        <color rgb="FF000000"/>
      </right>
      <top style="none">
        <color rgb="FF000000"/>
      </top>
      <bottom style="thin">
        <color rgb="FF000000"/>
      </bottom>
      <extLst>
        <ext uri="smNativeData">
          <pm:border xmlns:pm="smNativeData" id="19799">
            <pm:line position="bottom" type="1" style="0" width="20" dist="20" width2="20" rgb="000000"/>
            <pm:line position="left" type="1" style="0" width="20" dist="20" width2="20" rgb="000000"/>
          </pm:border>
        </ext>
      </extLst>
    </border>
    <border>
      <left style="none">
        <color rgb="FF000000"/>
      </left>
      <right style="none">
        <color rgb="FF000000"/>
      </right>
      <top style="none">
        <color rgb="FF000000"/>
      </top>
      <bottom style="thin">
        <color rgb="FF000000"/>
      </bottom>
      <extLst>
        <ext uri="smNativeData">
          <pm:border xmlns:pm="smNativeData" id="19799">
            <pm:line position="bottom" type="1" style="0" width="20" dist="20" width2="20" rgb="000000"/>
          </pm:border>
        </ext>
      </extLst>
    </border>
    <border>
      <left style="none">
        <color rgb="FF000000"/>
      </left>
      <right style="thin">
        <color rgb="FF000000"/>
      </right>
      <top style="none">
        <color rgb="FF000000"/>
      </top>
      <bottom style="thin">
        <color rgb="FF000000"/>
      </bottom>
      <extLst>
        <ext uri="smNativeData">
          <pm:border xmlns:pm="smNativeData" id="19799">
            <pm:line position="bottom" type="1" style="0" width="20" dist="20" width2="20" rgb="000000"/>
            <pm:line position="righ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9799">
            <pm:line position="left" type="1" style="0" width="20" dist="20" width2="20" rgb="000000"/>
            <pm:line position="right" type="1" style="0" width="20" dist="20" width2="20" rgb="000000"/>
          </pm:border>
        </ext>
      </extLst>
    </border>
    <border>
      <left style="none">
        <color rgb="FF000000"/>
      </left>
      <right style="thin">
        <color rgb="FF000000"/>
      </right>
      <top style="thin">
        <color rgb="FF000000"/>
      </top>
      <bottom style="none">
        <color rgb="FF000000"/>
      </bottom>
      <extLst>
        <ext uri="smNativeData">
          <pm:border xmlns:pm="smNativeData" id="19799">
            <pm:line position="top"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9799">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medium">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right" type="1" style="0" width="30" dist="20" width2="20" rgb="000000"/>
          </pm:border>
        </ext>
      </extLst>
    </border>
    <border>
      <left style="medium">
        <color rgb="FF000000"/>
      </left>
      <right style="none">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30" dist="20" width2="20" rgb="000000"/>
          </pm:border>
        </ext>
      </extLst>
    </border>
    <border>
      <left style="thin">
        <color rgb="FF000000"/>
      </left>
      <right style="medium">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20" dist="20" width2="20" rgb="000000"/>
            <pm:line position="right" type="1" style="0" width="30" dist="20" width2="20" rgb="000000"/>
          </pm:border>
        </ext>
      </extLst>
    </border>
    <border>
      <left style="medium">
        <color rgb="FF000000"/>
      </left>
      <right style="none">
        <color rgb="FF000000"/>
      </right>
      <top style="none">
        <color rgb="FF000000"/>
      </top>
      <bottom style="thin">
        <color rgb="FF000000"/>
      </bottom>
      <extLst>
        <ext uri="smNativeData">
          <pm:border xmlns:pm="smNativeData" id="19799">
            <pm:line position="bottom" type="1" style="0" width="20" dist="20" width2="20" rgb="000000"/>
            <pm:line position="left" type="1" style="0" width="30" dist="20" width2="20" rgb="000000"/>
          </pm:border>
        </ext>
      </extLst>
    </border>
    <border>
      <left style="medium">
        <color rgb="FF000000"/>
      </left>
      <right style="thin">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30" dist="20" width2="20" rgb="000000"/>
            <pm:line position="right" type="1" style="0" width="20" dist="20" width2="20" rgb="000000"/>
          </pm:border>
        </ext>
      </extLst>
    </border>
    <border>
      <left style="none">
        <color rgb="FF000000"/>
      </left>
      <right style="medium">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right" type="1" style="0" width="30" dist="20" width2="20" rgb="000000"/>
          </pm:border>
        </ext>
      </extLst>
    </border>
    <border>
      <left style="none">
        <color rgb="FF000000"/>
      </left>
      <right style="none">
        <color rgb="FF000000"/>
      </right>
      <top style="none">
        <color rgb="FF000000"/>
      </top>
      <bottom style="medium">
        <color rgb="FF000000"/>
      </bottom>
      <extLst>
        <ext uri="smNativeData">
          <pm:border xmlns:pm="smNativeData" id="19799">
            <pm:line position="bottom" type="1" style="0" width="30" dist="20" width2="20" rgb="000000"/>
          </pm:border>
        </ext>
      </extLst>
    </border>
    <border>
      <left style="none">
        <color rgb="FF000000"/>
      </left>
      <right style="none">
        <color rgb="FF000000"/>
      </right>
      <top style="thin">
        <color rgb="FF000000"/>
      </top>
      <bottom style="none">
        <color rgb="FF000000"/>
      </bottom>
      <extLst>
        <ext uri="smNativeData">
          <pm:border xmlns:pm="smNativeData" id="19799">
            <pm:line position="top" type="1" style="0" width="20" dist="20" width2="20" rgb="000000"/>
          </pm:border>
        </ext>
      </extLst>
    </border>
    <border>
      <left style="thin">
        <color rgb="FF000000"/>
      </left>
      <right style="none">
        <color rgb="FF000000"/>
      </right>
      <top style="thin">
        <color rgb="FF000000"/>
      </top>
      <bottom style="none">
        <color rgb="FF000000"/>
      </bottom>
      <extLst>
        <ext uri="smNativeData">
          <pm:border xmlns:pm="smNativeData" id="19799">
            <pm:line position="top" type="1" style="0" width="20" dist="20" width2="20" rgb="000000"/>
            <pm:line position="lef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9799">
            <pm:line position="top" type="1" style="0" width="20" dist="20" width2="20" rgb="000000"/>
            <pm:line position="left" type="1" style="0" width="20" dist="20" width2="20" rgb="000000"/>
            <pm:line position="right" type="1" style="0" width="20" dist="20" width2="20" rgb="000000"/>
          </pm:border>
        </ext>
      </extLst>
    </border>
    <border>
      <left style="medium">
        <color rgb="FF000000"/>
      </left>
      <right style="none">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left" type="1" style="0" width="30" dist="20" width2="20" rgb="000000"/>
          </pm:border>
        </ext>
      </extLst>
    </border>
    <border>
      <left style="none">
        <color rgb="FF000000"/>
      </left>
      <right style="medium">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line position="right" type="1" style="0" width="30" dist="20" width2="20" rgb="000000"/>
          </pm:border>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none">
        <color rgb="FF000000"/>
      </left>
      <right style="none">
        <color rgb="FF000000"/>
      </right>
      <top style="none">
        <color rgb="FF000000"/>
      </top>
      <bottom style="none">
        <color rgb="FF000000"/>
      </bottom>
      <extLst>
        <ext uri="smNativeData">
          <pm:border xmlns:pm="smNativeData" id="19799"/>
        </ext>
      </extLst>
    </border>
    <border>
      <left style="medium">
        <color rgb="FF000000"/>
      </left>
      <right style="none">
        <color rgb="FF000000"/>
      </right>
      <top style="medium">
        <color rgb="FF000000"/>
      </top>
      <bottom style="none">
        <color rgb="FF000000"/>
      </bottom>
      <extLst>
        <ext uri="smNativeData">
          <pm:border xmlns:pm="smNativeData" id="19799">
            <pm:line position="top" type="1" style="0" width="30" dist="20" width2="20" rgb="000000"/>
            <pm:line position="left" type="1" style="0" width="30" dist="20" width2="20" rgb="000000"/>
          </pm:border>
        </ext>
      </extLst>
    </border>
    <border>
      <left style="none">
        <color rgb="FF000000"/>
      </left>
      <right style="none">
        <color rgb="FF000000"/>
      </right>
      <top style="medium">
        <color rgb="FF000000"/>
      </top>
      <bottom style="none">
        <color rgb="FF000000"/>
      </bottom>
      <extLst>
        <ext uri="smNativeData">
          <pm:border xmlns:pm="smNativeData" id="19799">
            <pm:line position="top" type="1" style="0" width="30" dist="20" width2="20" rgb="000000"/>
          </pm:border>
        </ext>
      </extLst>
    </border>
    <border>
      <left style="none">
        <color rgb="FF000000"/>
      </left>
      <right style="medium">
        <color rgb="FF000000"/>
      </right>
      <top style="medium">
        <color rgb="FF000000"/>
      </top>
      <bottom style="none">
        <color rgb="FF000000"/>
      </bottom>
      <extLst>
        <ext uri="smNativeData">
          <pm:border xmlns:pm="smNativeData" id="19799">
            <pm:line position="top" type="1" style="0" width="30" dist="20" width2="20" rgb="000000"/>
            <pm:line position="right" type="1" style="0" width="30" dist="20" width2="20" rgb="000000"/>
          </pm:border>
        </ext>
      </extLst>
    </border>
    <border>
      <left style="medium">
        <color rgb="FF000000"/>
      </left>
      <right style="none">
        <color rgb="FF000000"/>
      </right>
      <top style="none">
        <color rgb="FF000000"/>
      </top>
      <bottom style="none">
        <color rgb="FF000000"/>
      </bottom>
      <extLst>
        <ext uri="smNativeData">
          <pm:border xmlns:pm="smNativeData" id="19799">
            <pm:line position="left" type="1" style="0" width="30" dist="20" width2="20" rgb="000000"/>
          </pm:border>
        </ext>
      </extLst>
    </border>
    <border>
      <left style="none">
        <color rgb="FF000000"/>
      </left>
      <right style="medium">
        <color rgb="FF000000"/>
      </right>
      <top style="none">
        <color rgb="FF000000"/>
      </top>
      <bottom style="none">
        <color rgb="FF000000"/>
      </bottom>
      <extLst>
        <ext uri="smNativeData">
          <pm:border xmlns:pm="smNativeData" id="19799">
            <pm:line position="right" type="1" style="0" width="30" dist="20" width2="20" rgb="000000"/>
          </pm:border>
        </ext>
      </extLst>
    </border>
    <border>
      <left style="medium">
        <color rgb="FF000000"/>
      </left>
      <right style="none">
        <color rgb="FF000000"/>
      </right>
      <top style="none">
        <color rgb="FF000000"/>
      </top>
      <bottom style="medium">
        <color rgb="FF000000"/>
      </bottom>
      <extLst>
        <ext uri="smNativeData">
          <pm:border xmlns:pm="smNativeData" id="19799">
            <pm:line position="bottom" type="1" style="0" width="30" dist="20" width2="20" rgb="000000"/>
            <pm:line position="left" type="1" style="0" width="30" dist="20" width2="20" rgb="000000"/>
          </pm:border>
        </ext>
      </extLst>
    </border>
    <border>
      <left style="none">
        <color rgb="FF000000"/>
      </left>
      <right style="none">
        <color rgb="FF000000"/>
      </right>
      <top style="none">
        <color rgb="FF000000"/>
      </top>
      <bottom style="medium">
        <color rgb="FF000000"/>
      </bottom>
      <extLst>
        <ext uri="smNativeData">
          <pm:border xmlns:pm="smNativeData" id="19799">
            <pm:line position="bottom" type="1" style="0" width="30" dist="20" width2="20" rgb="000000"/>
          </pm:border>
        </ext>
      </extLst>
    </border>
    <border>
      <left style="none">
        <color rgb="FF000000"/>
      </left>
      <right style="medium">
        <color rgb="FF000000"/>
      </right>
      <top style="none">
        <color rgb="FF000000"/>
      </top>
      <bottom style="medium">
        <color rgb="FF000000"/>
      </bottom>
      <extLst>
        <ext uri="smNativeData">
          <pm:border xmlns:pm="smNativeData" id="19799">
            <pm:line position="bottom" type="1" style="0" width="30" dist="20" width2="20" rgb="000000"/>
            <pm:line position="right" type="1" style="0" width="30" dist="20" width2="20" rgb="000000"/>
          </pm:border>
        </ext>
      </extLst>
    </border>
    <border>
      <left style="thin">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none">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9799">
            <pm:line position="top" type="1" style="0" width="20" dist="20" width2="20" rgb="000000"/>
            <pm:line position="bottom" type="1" style="0" width="20" dist="20" width2="20" rgb="000000"/>
            <pm:line position="right" type="1" style="0" width="20" dist="20" width2="20" rgb="000000"/>
          </pm:border>
        </ext>
      </extLst>
    </border>
    <border>
      <left style="medium">
        <color rgb="FF000000"/>
      </left>
      <right style="medium">
        <color rgb="FF000000"/>
      </right>
      <top style="medium">
        <color rgb="FF000000"/>
      </top>
      <bottom style="none">
        <color rgb="FF000000"/>
      </bottom>
      <extLst>
        <ext uri="smNativeData">
          <pm:border xmlns:pm="smNativeData" id="19799">
            <pm:line position="top" type="1" style="0" width="30" dist="20" width2="20" rgb="000000"/>
            <pm:line position="left" type="1" style="0" width="30" dist="20" width2="20" rgb="000000"/>
            <pm:line position="right" type="1" style="0" width="30" dist="20" width2="20" rgb="000000"/>
          </pm:border>
        </ext>
      </extLst>
    </border>
    <border>
      <left style="medium">
        <color rgb="FF000000"/>
      </left>
      <right style="medium">
        <color rgb="FF000000"/>
      </right>
      <top style="none">
        <color rgb="FF000000"/>
      </top>
      <bottom style="medium">
        <color rgb="FF000000"/>
      </bottom>
      <extLst>
        <ext uri="smNativeData">
          <pm:border xmlns:pm="smNativeData" id="19799">
            <pm:line position="bottom" type="1" style="0" width="30" dist="20" width2="20" rgb="000000"/>
            <pm:line position="left" type="1" style="0" width="30" dist="20" width2="20" rgb="000000"/>
            <pm:line position="right" type="1" style="0" width="30" dist="20" width2="20" rgb="000000"/>
          </pm:border>
        </ext>
      </extLst>
    </border>
    <border>
      <left style="none">
        <color rgb="FF000000"/>
      </left>
      <right style="none">
        <color rgb="FF000000"/>
      </right>
      <top style="medium">
        <color rgb="FF000000"/>
      </top>
      <bottom style="medium">
        <color rgb="FF000000"/>
      </bottom>
      <extLst>
        <ext uri="smNativeData">
          <pm:border xmlns:pm="smNativeData" id="19799">
            <pm:line position="top" type="1" style="0" width="30" dist="20" width2="20" rgb="000000"/>
            <pm:line position="bottom" type="1" style="0" width="30" dist="20" width2="20" rgb="000000"/>
          </pm:border>
        </ext>
      </extLst>
    </border>
    <border>
      <left style="none">
        <color rgb="FF000000"/>
      </left>
      <right style="none">
        <color rgb="FF000000"/>
      </right>
      <top style="none">
        <color rgb="FF000000"/>
      </top>
      <bottom style="none">
        <color rgb="FF000000"/>
      </bottom>
      <extLst>
        <ext uri="smNativeData">
          <pm:border xmlns:pm="smNativeData" id="19799"/>
        </ext>
      </extLst>
    </border>
  </borders>
  <cellStyleXfs count="49">
    <xf numFmtId="0" fontId="0" fillId="0" borderId="0" applyNumberFormat="1" applyFont="1" applyFill="1" applyBorder="1" applyAlignment="1" applyProtection="1"/>
    <xf numFmtId="0" fontId="19" fillId="2" borderId="1" applyNumberFormat="0" applyFont="1" applyFill="1" applyBorder="0" applyAlignment="0" applyProtection="0"/>
    <xf numFmtId="0" fontId="19" fillId="3" borderId="2" applyNumberFormat="0" applyFont="1" applyFill="1" applyBorder="0" applyAlignment="0" applyProtection="0"/>
    <xf numFmtId="0" fontId="19" fillId="4" borderId="3" applyNumberFormat="0" applyFont="1" applyFill="1" applyBorder="0" applyAlignment="0" applyProtection="0"/>
    <xf numFmtId="0" fontId="19" fillId="5" borderId="4" applyNumberFormat="0" applyFont="1" applyFill="1" applyBorder="0" applyAlignment="0" applyProtection="0"/>
    <xf numFmtId="0" fontId="19" fillId="6" borderId="5" applyNumberFormat="0" applyFont="1" applyFill="1" applyBorder="0" applyAlignment="0" applyProtection="0"/>
    <xf numFmtId="0" fontId="19" fillId="7" borderId="6" applyNumberFormat="0" applyFont="1" applyFill="1" applyBorder="0" applyAlignment="0" applyProtection="0"/>
    <xf numFmtId="0" fontId="19" fillId="8" borderId="7" applyNumberFormat="0" applyFont="1" applyFill="1" applyBorder="0" applyAlignment="0" applyProtection="0"/>
    <xf numFmtId="0" fontId="19" fillId="9" borderId="8" applyNumberFormat="0" applyFont="1" applyFill="1" applyBorder="0" applyAlignment="0" applyProtection="0"/>
    <xf numFmtId="0" fontId="19" fillId="10" borderId="9" applyNumberFormat="0" applyFont="1" applyFill="1" applyBorder="0" applyAlignment="0" applyProtection="0"/>
    <xf numFmtId="0" fontId="19" fillId="5" borderId="4" applyNumberFormat="0" applyFont="1" applyFill="1" applyBorder="0" applyAlignment="0" applyProtection="0"/>
    <xf numFmtId="0" fontId="19" fillId="8" borderId="7" applyNumberFormat="0" applyFont="1" applyFill="1" applyBorder="0" applyAlignment="0" applyProtection="0"/>
    <xf numFmtId="0" fontId="19" fillId="11" borderId="10" applyNumberFormat="0" applyFont="1" applyFill="1" applyBorder="0" applyAlignment="0" applyProtection="0"/>
    <xf numFmtId="0" fontId="20" fillId="12" borderId="11" applyNumberFormat="0" applyFont="1" applyFill="1" applyBorder="0" applyAlignment="0" applyProtection="0"/>
    <xf numFmtId="0" fontId="20" fillId="9" borderId="8" applyNumberFormat="0" applyFont="1" applyFill="1" applyBorder="0" applyAlignment="0" applyProtection="0"/>
    <xf numFmtId="0" fontId="20" fillId="10" borderId="9" applyNumberFormat="0" applyFont="1" applyFill="1" applyBorder="0" applyAlignment="0" applyProtection="0"/>
    <xf numFmtId="0" fontId="20" fillId="13" borderId="12" applyNumberFormat="0" applyFont="1" applyFill="1" applyBorder="0" applyAlignment="0" applyProtection="0"/>
    <xf numFmtId="0" fontId="20" fillId="14" borderId="13" applyNumberFormat="0" applyFont="1" applyFill="1" applyBorder="0" applyAlignment="0" applyProtection="0"/>
    <xf numFmtId="0" fontId="20" fillId="15" borderId="14" applyNumberFormat="0" applyFont="1" applyFill="1" applyBorder="0" applyAlignment="0" applyProtection="0"/>
    <xf numFmtId="0" fontId="20" fillId="16" borderId="15" applyNumberFormat="0" applyFont="1" applyFill="1" applyBorder="0" applyAlignment="0" applyProtection="0"/>
    <xf numFmtId="0" fontId="20" fillId="17" borderId="16" applyNumberFormat="0" applyFont="1" applyFill="1" applyBorder="0" applyAlignment="0" applyProtection="0"/>
    <xf numFmtId="0" fontId="20" fillId="18" borderId="17" applyNumberFormat="0" applyFont="1" applyFill="1" applyBorder="0" applyAlignment="0" applyProtection="0"/>
    <xf numFmtId="0" fontId="20" fillId="13" borderId="12" applyNumberFormat="0" applyFont="1" applyFill="1" applyBorder="0" applyAlignment="0" applyProtection="0"/>
    <xf numFmtId="0" fontId="20" fillId="14" borderId="13" applyNumberFormat="0" applyFont="1" applyFill="1" applyBorder="0" applyAlignment="0" applyProtection="0"/>
    <xf numFmtId="0" fontId="20" fillId="19" borderId="18" applyNumberFormat="0" applyFont="1" applyFill="1" applyBorder="0" applyAlignment="0" applyProtection="0"/>
    <xf numFmtId="0" fontId="21" fillId="3" borderId="2" applyNumberFormat="0" applyFont="1" applyFill="1" applyBorder="0" applyAlignment="0" applyProtection="0"/>
    <xf numFmtId="0" fontId="22" fillId="20" borderId="19" applyNumberFormat="0" applyFont="1" applyFill="1" applyBorder="1" applyAlignment="0" applyProtection="0"/>
    <xf numFmtId="0" fontId="23" fillId="21" borderId="20" applyNumberFormat="0" applyFont="1" applyFill="1" applyBorder="1" applyAlignment="0" applyProtection="0"/>
    <xf numFmtId="167" fontId="0" fillId="0" borderId="0" applyNumberFormat="1" applyFont="0" applyFill="0" applyBorder="0" applyAlignment="0" applyProtection="0"/>
    <xf numFmtId="165" fontId="0" fillId="0" borderId="0" applyNumberFormat="1" applyFont="0" applyFill="0" applyBorder="0" applyAlignment="0" applyProtection="0"/>
    <xf numFmtId="166" fontId="0" fillId="0" borderId="0" applyNumberFormat="1" applyFont="0" applyFill="0" applyBorder="0" applyAlignment="0" applyProtection="0"/>
    <xf numFmtId="164" fontId="0" fillId="0" borderId="0" applyNumberFormat="1" applyFont="0" applyFill="0" applyBorder="0" applyAlignment="0" applyProtection="0"/>
    <xf numFmtId="0" fontId="24" fillId="0" borderId="0" applyNumberFormat="0" applyFont="1" applyFill="0" applyBorder="0" applyAlignment="0" applyProtection="0"/>
    <xf numFmtId="0" fontId="7" fillId="0" borderId="0" applyNumberFormat="0" applyFont="1" applyFill="0" applyBorder="0" applyAlignment="0" applyProtection="0">
      <alignment vertical="top"/>
      <protection locked="0" hidden="0"/>
    </xf>
    <xf numFmtId="0" fontId="25" fillId="4" borderId="3" applyNumberFormat="0" applyFont="1" applyFill="1" applyBorder="0" applyAlignment="0" applyProtection="0"/>
    <xf numFmtId="0" fontId="26" fillId="22" borderId="21" applyNumberFormat="0" applyFont="1" applyFill="0" applyBorder="1" applyAlignment="0" applyProtection="0"/>
    <xf numFmtId="0" fontId="27" fillId="23" borderId="22" applyNumberFormat="0" applyFont="1" applyFill="0" applyBorder="1" applyAlignment="0" applyProtection="0"/>
    <xf numFmtId="0" fontId="28" fillId="24" borderId="23" applyNumberFormat="0" applyFont="1" applyFill="0" applyBorder="1" applyAlignment="0" applyProtection="0"/>
    <xf numFmtId="0" fontId="28" fillId="0" borderId="0" applyNumberFormat="0" applyFont="1" applyFill="0" applyBorder="0" applyAlignment="0" applyProtection="0"/>
    <xf numFmtId="0" fontId="6" fillId="0" borderId="0" applyNumberFormat="0" applyFont="1" applyFill="0" applyBorder="0" applyAlignment="0" applyProtection="0">
      <alignment vertical="top"/>
      <protection locked="0" hidden="0"/>
    </xf>
    <xf numFmtId="0" fontId="29" fillId="25" borderId="24" applyNumberFormat="0" applyFont="1" applyFill="1" applyBorder="1" applyAlignment="0" applyProtection="0"/>
    <xf numFmtId="0" fontId="30" fillId="26" borderId="25" applyNumberFormat="0" applyFont="1" applyFill="0" applyBorder="1" applyAlignment="0" applyProtection="0"/>
    <xf numFmtId="0" fontId="31" fillId="27" borderId="26" applyNumberFormat="0" applyFont="1" applyFill="1" applyBorder="0" applyAlignment="0" applyProtection="0"/>
    <xf numFmtId="0" fontId="0" fillId="28" borderId="27" applyNumberFormat="0" applyFont="0" applyFill="1" applyBorder="1" applyAlignment="0" applyProtection="0"/>
    <xf numFmtId="0" fontId="32" fillId="29" borderId="28" applyNumberFormat="0" applyFont="1" applyFill="1" applyBorder="1" applyAlignment="0" applyProtection="0"/>
    <xf numFmtId="9" fontId="0" fillId="0" borderId="0" applyNumberFormat="1" applyFont="0" applyFill="0" applyBorder="0" applyAlignment="0" applyProtection="0"/>
    <xf numFmtId="0" fontId="33" fillId="0" borderId="0" applyNumberFormat="0" applyFont="1" applyFill="0" applyBorder="0" applyAlignment="0" applyProtection="0"/>
    <xf numFmtId="0" fontId="34" fillId="30" borderId="29" applyNumberFormat="0" applyFont="1" applyFill="0" applyBorder="1" applyAlignment="0" applyProtection="0"/>
    <xf numFmtId="0" fontId="35" fillId="0" borderId="0" applyNumberFormat="0" applyFont="1" applyFill="0" applyBorder="0" applyAlignment="0" applyProtection="0"/>
  </cellStyleXfs>
  <cellXfs count="300">
    <xf numFmtId="0" fontId="0" fillId="0" borderId="0" xfId="0"/>
    <xf numFmtId="0" fontId="2" fillId="0" borderId="0" xfId="0" applyFont="1"/>
    <xf numFmtId="0" fontId="2" fillId="0" borderId="30" xfId="0" applyFont="1" applyBorder="1"/>
    <xf numFmtId="0" fontId="3" fillId="0" borderId="0" xfId="0" applyFont="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3" fillId="0" borderId="0" xfId="0" applyFont="1" applyAlignment="1">
      <alignment horizontal="right"/>
    </xf>
    <xf numFmtId="168" fontId="3" fillId="0" borderId="0" xfId="0" applyNumberFormat="1" applyFont="1" applyAlignment="1">
      <alignment horizontal="left"/>
    </xf>
    <xf numFmtId="0" fontId="5" fillId="0" borderId="0" xfId="0" applyFont="1"/>
    <xf numFmtId="0" fontId="3" fillId="0" borderId="0" xfId="0" applyFont="1" applyAlignment="1">
      <alignment horizontal="left"/>
    </xf>
    <xf numFmtId="0" fontId="3" fillId="0" borderId="0" xfId="0" applyFont="1" applyAlignment="1">
      <alignment horizontal="center"/>
    </xf>
    <xf numFmtId="0" fontId="2" fillId="0" borderId="0" xfId="0" applyFont="1" applyAlignment="1">
      <alignment horizontal="left"/>
    </xf>
    <xf numFmtId="0" fontId="3" fillId="0" borderId="30" xfId="0" applyFont="1" applyBorder="1"/>
    <xf numFmtId="0" fontId="2" fillId="0" borderId="0" xfId="0" applyFont="1" applyAlignment="1">
      <alignment horizontal="center"/>
    </xf>
    <xf numFmtId="168" fontId="2" fillId="0" borderId="0" xfId="0" applyNumberFormat="1" applyFont="1" applyAlignment="1">
      <alignment horizontal="left"/>
    </xf>
    <xf numFmtId="0" fontId="2" fillId="0" borderId="0" xfId="0" applyFont="1" applyAlignment="1">
      <alignment horizontal="justify" vertical="justify"/>
    </xf>
    <xf numFmtId="0" fontId="2" fillId="0" borderId="0" xfId="0" applyFont="1" applyAlignment="1">
      <alignment vertical="justify"/>
    </xf>
    <xf numFmtId="0" fontId="2" fillId="0" borderId="35" xfId="0" applyFont="1" applyBorder="1"/>
    <xf numFmtId="0" fontId="2" fillId="0" borderId="36" xfId="0" applyFont="1" applyBorder="1"/>
    <xf numFmtId="0" fontId="2" fillId="0" borderId="36" xfId="0" applyFont="1" applyBorder="1" applyAlignment="1">
      <alignment horizontal="right"/>
    </xf>
    <xf numFmtId="0" fontId="2" fillId="0" borderId="37" xfId="0" applyFont="1" applyBorder="1"/>
    <xf numFmtId="167" fontId="2" fillId="0" borderId="0" xfId="0" applyNumberFormat="1" applyFont="1" applyAlignment="1">
      <alignment horizontal="right"/>
    </xf>
    <xf numFmtId="0" fontId="3" fillId="0" borderId="32" xfId="0" applyFont="1" applyBorder="1"/>
    <xf numFmtId="2" fontId="2" fillId="0" borderId="38" xfId="0" applyNumberFormat="1" applyFont="1" applyBorder="1"/>
    <xf numFmtId="2" fontId="2" fillId="0" borderId="31" xfId="0" applyNumberFormat="1" applyFont="1" applyBorder="1"/>
    <xf numFmtId="2" fontId="2" fillId="0" borderId="34" xfId="0" applyNumberFormat="1" applyFont="1" applyBorder="1"/>
    <xf numFmtId="2" fontId="2" fillId="0" borderId="33" xfId="0" applyNumberFormat="1" applyFont="1" applyBorder="1"/>
    <xf numFmtId="2" fontId="2" fillId="0" borderId="39" xfId="0" applyNumberFormat="1" applyFont="1" applyBorder="1"/>
    <xf numFmtId="2" fontId="2" fillId="0" borderId="32" xfId="0" applyNumberFormat="1" applyFont="1" applyBorder="1"/>
    <xf numFmtId="2" fontId="2" fillId="0" borderId="40" xfId="0" applyNumberFormat="1" applyFont="1" applyBorder="1"/>
    <xf numFmtId="2" fontId="2" fillId="0" borderId="0" xfId="0" applyNumberFormat="1" applyFont="1"/>
    <xf numFmtId="2" fontId="2" fillId="0" borderId="30" xfId="0" applyNumberFormat="1" applyFont="1" applyBorder="1"/>
    <xf numFmtId="2" fontId="2" fillId="0" borderId="35" xfId="0" applyNumberFormat="1" applyFont="1" applyBorder="1"/>
    <xf numFmtId="2" fontId="2" fillId="0" borderId="41" xfId="0" applyNumberFormat="1" applyFont="1" applyBorder="1"/>
    <xf numFmtId="0" fontId="2" fillId="0" borderId="42" xfId="0" applyFont="1" applyBorder="1"/>
    <xf numFmtId="2" fontId="3" fillId="0" borderId="43" xfId="0" applyNumberFormat="1" applyFont="1" applyBorder="1"/>
    <xf numFmtId="2" fontId="3" fillId="0" borderId="44" xfId="0" applyNumberFormat="1" applyFont="1" applyBorder="1"/>
    <xf numFmtId="0" fontId="2" fillId="0" borderId="45" xfId="0" applyFont="1" applyBorder="1"/>
    <xf numFmtId="2" fontId="3" fillId="0" borderId="46" xfId="0" applyNumberFormat="1" applyFont="1" applyBorder="1"/>
    <xf numFmtId="2" fontId="3" fillId="0" borderId="47" xfId="0" applyNumberFormat="1" applyFont="1" applyBorder="1"/>
    <xf numFmtId="0" fontId="3" fillId="0" borderId="35" xfId="0" applyFont="1" applyBorder="1"/>
    <xf numFmtId="2" fontId="3" fillId="0" borderId="37" xfId="0" applyNumberFormat="1" applyFont="1" applyBorder="1"/>
    <xf numFmtId="168" fontId="2" fillId="0" borderId="0" xfId="0" applyNumberFormat="1" applyFont="1" applyAlignment="1">
      <alignment horizontal="right"/>
    </xf>
    <xf numFmtId="168" fontId="2" fillId="0" borderId="0" xfId="0" applyNumberFormat="1" applyFont="1"/>
    <xf numFmtId="169" fontId="2" fillId="0" borderId="0" xfId="0" applyNumberFormat="1" applyFont="1"/>
    <xf numFmtId="0" fontId="3" fillId="0" borderId="33" xfId="0" applyFont="1" applyBorder="1"/>
    <xf numFmtId="0" fontId="3" fillId="0" borderId="34" xfId="0" applyFont="1" applyBorder="1" applyAlignment="1">
      <alignment horizontal="right"/>
    </xf>
    <xf numFmtId="2" fontId="2" fillId="0" borderId="40" xfId="45" applyNumberFormat="1" applyFont="1" applyBorder="1"/>
    <xf numFmtId="0" fontId="2" fillId="0" borderId="48" xfId="0" applyFont="1" applyBorder="1"/>
    <xf numFmtId="0" fontId="4" fillId="0" borderId="0" xfId="0" applyFont="1"/>
    <xf numFmtId="2" fontId="3" fillId="0" borderId="0" xfId="0" applyNumberFormat="1" applyFont="1" applyAlignment="1">
      <alignment horizontal="right"/>
    </xf>
    <xf numFmtId="0" fontId="2" fillId="0" borderId="0" xfId="0" applyFont="1" applyAlignment="1">
      <alignment horizontal="right"/>
    </xf>
    <xf numFmtId="0" fontId="3" fillId="0" borderId="48" xfId="0" applyFont="1" applyBorder="1"/>
    <xf numFmtId="0" fontId="8" fillId="0" borderId="0" xfId="0" applyFont="1"/>
    <xf numFmtId="0" fontId="9" fillId="0" borderId="0" xfId="0" applyFont="1"/>
    <xf numFmtId="0" fontId="10" fillId="0" borderId="0" xfId="0" applyFont="1"/>
    <xf numFmtId="0" fontId="9" fillId="0" borderId="0" xfId="0" applyFont="1" applyAlignment="1">
      <alignment horizontal="right"/>
    </xf>
    <xf numFmtId="0" fontId="9" fillId="0" borderId="0" xfId="0" applyFont="1" applyAlignment="1">
      <alignment horizontal="left"/>
    </xf>
    <xf numFmtId="168" fontId="10" fillId="0" borderId="0" xfId="0" applyNumberFormat="1" applyFont="1"/>
    <xf numFmtId="2" fontId="2" fillId="0" borderId="37" xfId="0" applyNumberFormat="1" applyFont="1" applyBorder="1"/>
    <xf numFmtId="0" fontId="2" fillId="0" borderId="49" xfId="0" applyFont="1" applyBorder="1"/>
    <xf numFmtId="0" fontId="2" fillId="0" borderId="38" xfId="0" applyFont="1" applyBorder="1"/>
    <xf numFmtId="2" fontId="3" fillId="0" borderId="0" xfId="0" applyNumberFormat="1" applyFont="1"/>
    <xf numFmtId="17" fontId="2" fillId="0" borderId="0" xfId="0" applyNumberFormat="1" applyFont="1"/>
    <xf numFmtId="2" fontId="2" fillId="0" borderId="49" xfId="0" applyNumberFormat="1" applyFont="1" applyBorder="1"/>
    <xf numFmtId="0" fontId="2" fillId="0" borderId="50" xfId="0" applyFont="1" applyBorder="1"/>
    <xf numFmtId="2" fontId="2" fillId="0" borderId="51" xfId="0" applyNumberFormat="1" applyFont="1" applyBorder="1"/>
    <xf numFmtId="0" fontId="11" fillId="0" borderId="0" xfId="0" applyFont="1"/>
    <xf numFmtId="2" fontId="3" fillId="0" borderId="36" xfId="0" applyNumberFormat="1" applyFont="1" applyBorder="1" applyAlignment="1">
      <alignment horizontal="right"/>
    </xf>
    <xf numFmtId="0" fontId="3" fillId="0" borderId="41" xfId="0" applyFont="1" applyBorder="1"/>
    <xf numFmtId="0" fontId="3" fillId="0" borderId="36" xfId="0" applyFont="1" applyBorder="1"/>
    <xf numFmtId="0" fontId="3" fillId="0" borderId="37" xfId="0" applyFont="1" applyBorder="1" applyAlignment="1">
      <alignment horizontal="center"/>
    </xf>
    <xf numFmtId="0" fontId="3" fillId="0" borderId="41" xfId="0" applyFont="1" applyBorder="1" applyAlignment="1">
      <alignment horizontal="center"/>
    </xf>
    <xf numFmtId="0" fontId="3" fillId="0" borderId="51" xfId="0" applyFont="1" applyBorder="1" applyAlignment="1">
      <alignment horizontal="center"/>
    </xf>
    <xf numFmtId="0" fontId="2" fillId="0" borderId="38" xfId="0" applyFont="1" applyBorder="1" applyAlignment="1">
      <alignment horizontal="left"/>
    </xf>
    <xf numFmtId="2" fontId="2" fillId="0" borderId="31" xfId="0" applyNumberFormat="1" applyFont="1" applyBorder="1" applyAlignment="1">
      <alignment horizontal="right"/>
    </xf>
    <xf numFmtId="2" fontId="2" fillId="0" borderId="30" xfId="0" applyNumberFormat="1" applyFont="1" applyBorder="1" applyAlignment="1">
      <alignment horizontal="right"/>
    </xf>
    <xf numFmtId="2" fontId="2" fillId="0" borderId="51" xfId="0" applyNumberFormat="1" applyFont="1" applyBorder="1" applyAlignment="1">
      <alignment horizontal="right"/>
    </xf>
    <xf numFmtId="2" fontId="2" fillId="0" borderId="36" xfId="0" applyNumberFormat="1" applyFont="1" applyBorder="1"/>
    <xf numFmtId="2" fontId="3" fillId="53" borderId="52" xfId="0" applyNumberFormat="1" applyFont="1" applyFill="1" applyBorder="1"/>
    <xf numFmtId="2" fontId="2" fillId="54" borderId="53" xfId="0" applyNumberFormat="1" applyFont="1" applyFill="1" applyBorder="1"/>
    <xf numFmtId="0" fontId="3" fillId="0" borderId="49" xfId="0" applyFont="1" applyBorder="1"/>
    <xf numFmtId="2" fontId="3" fillId="0" borderId="41" xfId="0" applyNumberFormat="1" applyFont="1" applyBorder="1" applyAlignment="1">
      <alignment horizontal="right"/>
    </xf>
    <xf numFmtId="2" fontId="3" fillId="0" borderId="36" xfId="0" applyNumberFormat="1" applyFont="1" applyBorder="1"/>
    <xf numFmtId="0" fontId="3" fillId="0" borderId="50" xfId="0" applyFont="1" applyBorder="1"/>
    <xf numFmtId="0" fontId="2" fillId="0" borderId="39" xfId="0" applyFont="1" applyBorder="1"/>
    <xf numFmtId="0" fontId="4" fillId="0" borderId="32" xfId="0" applyFont="1" applyBorder="1"/>
    <xf numFmtId="0" fontId="3" fillId="0" borderId="34" xfId="0" applyFont="1" applyBorder="1"/>
    <xf numFmtId="2" fontId="2" fillId="0" borderId="40" xfId="0" applyNumberFormat="1" applyFont="1" applyBorder="1" applyAlignment="1">
      <alignment horizontal="right"/>
    </xf>
    <xf numFmtId="0" fontId="3" fillId="0" borderId="39" xfId="0" applyFont="1" applyBorder="1" applyAlignment="1">
      <alignment horizontal="center"/>
    </xf>
    <xf numFmtId="0" fontId="2" fillId="0" borderId="39" xfId="0" applyFont="1" applyBorder="1" applyAlignment="1">
      <alignment horizontal="left"/>
    </xf>
    <xf numFmtId="0" fontId="0" fillId="0" borderId="48" xfId="0" applyBorder="1"/>
    <xf numFmtId="0" fontId="0" fillId="0" borderId="50" xfId="0" applyBorder="1"/>
    <xf numFmtId="0" fontId="0" fillId="0" borderId="49" xfId="0" applyBorder="1"/>
    <xf numFmtId="0" fontId="0" fillId="0" borderId="3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4" fontId="3" fillId="0" borderId="0" xfId="0" applyNumberFormat="1" applyFont="1" applyAlignment="1">
      <alignment horizontal="left"/>
    </xf>
    <xf numFmtId="0" fontId="2" fillId="0" borderId="51" xfId="0" applyFont="1" applyBorder="1" applyAlignment="1">
      <alignment horizontal="left"/>
    </xf>
    <xf numFmtId="0" fontId="2" fillId="0" borderId="40" xfId="0" applyFont="1" applyBorder="1" applyAlignment="1">
      <alignment horizontal="left"/>
    </xf>
    <xf numFmtId="0" fontId="3" fillId="0" borderId="33" xfId="0" applyFont="1" applyBorder="1" applyAlignment="1">
      <alignment horizontal="center"/>
    </xf>
    <xf numFmtId="0" fontId="3" fillId="0" borderId="33" xfId="0" applyFont="1" applyBorder="1" applyAlignment="1">
      <alignment horizontal="left"/>
    </xf>
    <xf numFmtId="0" fontId="3" fillId="0" borderId="36" xfId="0" applyFont="1" applyBorder="1" applyAlignment="1">
      <alignment horizontal="center"/>
    </xf>
    <xf numFmtId="0" fontId="3" fillId="0" borderId="36" xfId="0" applyFont="1" applyBorder="1" applyAlignment="1">
      <alignment horizontal="left"/>
    </xf>
    <xf numFmtId="0" fontId="2" fillId="0" borderId="41" xfId="0" applyFont="1" applyBorder="1" applyAlignment="1">
      <alignment horizontal="center"/>
    </xf>
    <xf numFmtId="0" fontId="2" fillId="0" borderId="40" xfId="0" applyFont="1" applyBorder="1" applyAlignment="1">
      <alignment horizontal="center"/>
    </xf>
    <xf numFmtId="0" fontId="12" fillId="0" borderId="0" xfId="0" applyFont="1"/>
    <xf numFmtId="0" fontId="4" fillId="0" borderId="0" xfId="0" applyFont="1" applyAlignment="1">
      <alignment horizontal="center"/>
    </xf>
    <xf numFmtId="0" fontId="12" fillId="0" borderId="0" xfId="0" applyFont="1" applyAlignment="1">
      <alignment horizontal="center"/>
    </xf>
    <xf numFmtId="0" fontId="4" fillId="0" borderId="0" xfId="0" applyFont="1" applyAlignment="1">
      <alignment horizontal="left"/>
    </xf>
    <xf numFmtId="0" fontId="12" fillId="0" borderId="0" xfId="0" applyFont="1" applyAlignment="1">
      <alignment horizontal="right"/>
    </xf>
    <xf numFmtId="0" fontId="13" fillId="0" borderId="0" xfId="0" applyFont="1"/>
    <xf numFmtId="0" fontId="14" fillId="0" borderId="0" xfId="0" applyFont="1"/>
    <xf numFmtId="1" fontId="2" fillId="0" borderId="37" xfId="0" applyNumberFormat="1" applyFont="1" applyBorder="1"/>
    <xf numFmtId="1" fontId="2" fillId="0" borderId="37" xfId="0" applyNumberFormat="1" applyFont="1" applyBorder="1" applyAlignment="1">
      <alignment horizontal="right"/>
    </xf>
    <xf numFmtId="1" fontId="2" fillId="0" borderId="33" xfId="0" applyNumberFormat="1" applyFont="1" applyBorder="1" applyAlignment="1">
      <alignment horizontal="right"/>
    </xf>
    <xf numFmtId="1" fontId="2" fillId="0" borderId="30" xfId="0" applyNumberFormat="1" applyFont="1" applyBorder="1"/>
    <xf numFmtId="0" fontId="2" fillId="0" borderId="40" xfId="0" applyFont="1" applyBorder="1"/>
    <xf numFmtId="0" fontId="3" fillId="0" borderId="39" xfId="0" applyFont="1" applyBorder="1"/>
    <xf numFmtId="0" fontId="13" fillId="55" borderId="54" xfId="0" applyFont="1" applyFill="1"/>
    <xf numFmtId="0" fontId="15" fillId="55" borderId="54" xfId="0" applyFont="1" applyFill="1"/>
    <xf numFmtId="18" fontId="2" fillId="0" borderId="0" xfId="0" applyNumberFormat="1" applyFont="1" applyAlignment="1">
      <alignment horizontal="left"/>
    </xf>
    <xf numFmtId="0" fontId="2" fillId="0" borderId="33" xfId="0" applyFont="1" applyBorder="1" applyAlignment="1">
      <alignment horizontal="left"/>
    </xf>
    <xf numFmtId="0" fontId="3" fillId="0" borderId="51" xfId="0" applyFont="1" applyBorder="1" applyAlignment="1">
      <alignment horizontal="left"/>
    </xf>
    <xf numFmtId="0" fontId="3" fillId="0" borderId="31" xfId="0" applyFont="1" applyBorder="1"/>
    <xf numFmtId="0" fontId="3" fillId="0" borderId="38" xfId="0" applyFont="1" applyBorder="1"/>
    <xf numFmtId="0" fontId="9" fillId="56" borderId="55" xfId="0" applyFont="1" applyFill="1"/>
    <xf numFmtId="0" fontId="2" fillId="56" borderId="55" xfId="0" applyFont="1" applyFill="1"/>
    <xf numFmtId="0" fontId="0" fillId="56" borderId="55" xfId="0" applyFill="1"/>
    <xf numFmtId="0" fontId="2" fillId="0" borderId="30" xfId="0" applyFont="1" applyBorder="1" applyAlignment="1">
      <alignment horizontal="left" indent="5"/>
      <extLst>
        <ext uri="smNativeData">
          <pm:cellMargin xmlns:pm="smNativeData" id="19799" l="960" r="0" t="0" b="0" textRotation="0"/>
        </ext>
      </extLst>
    </xf>
    <xf numFmtId="0" fontId="16" fillId="0" borderId="0" xfId="0" applyFont="1"/>
    <xf numFmtId="0" fontId="17" fillId="0" borderId="0" xfId="0" applyFont="1"/>
    <xf numFmtId="0" fontId="18" fillId="0" borderId="0" xfId="0" applyFont="1"/>
    <xf numFmtId="0" fontId="3" fillId="0" borderId="30" xfId="0" applyFont="1" applyBorder="1" applyAlignment="1">
      <alignment horizontal="left" indent="5"/>
      <extLst>
        <ext uri="smNativeData">
          <pm:cellMargin xmlns:pm="smNativeData" id="19799" l="960" r="0" t="0" b="0" textRotation="0"/>
        </ext>
      </extLst>
    </xf>
    <xf numFmtId="0" fontId="3" fillId="0" borderId="33" xfId="0" applyFont="1" applyBorder="1" applyAlignment="1">
      <alignment horizontal="right"/>
    </xf>
    <xf numFmtId="0" fontId="2" fillId="0" borderId="0" xfId="0" applyFont="1" applyAlignment="1">
      <alignment horizontal="left" indent="5"/>
      <extLst>
        <ext uri="smNativeData">
          <pm:cellMargin xmlns:pm="smNativeData" id="19799" l="960" r="0" t="0" b="0" textRotation="0"/>
        </ext>
      </extLst>
    </xf>
    <xf numFmtId="0" fontId="3" fillId="57" borderId="56" xfId="0" applyFont="1" applyFill="1" applyBorder="1"/>
    <xf numFmtId="0" fontId="2" fillId="58" borderId="57" xfId="0" applyFont="1" applyFill="1" applyBorder="1"/>
    <xf numFmtId="0" fontId="2" fillId="59" borderId="58" xfId="0" applyFont="1" applyFill="1" applyBorder="1"/>
    <xf numFmtId="0" fontId="2" fillId="60" borderId="59" xfId="0" applyFont="1" applyFill="1" applyBorder="1"/>
    <xf numFmtId="0" fontId="2" fillId="55" borderId="54" xfId="0" applyFont="1" applyFill="1"/>
    <xf numFmtId="0" fontId="3" fillId="55" borderId="54" xfId="0" applyFont="1" applyFill="1"/>
    <xf numFmtId="0" fontId="2" fillId="61" borderId="60" xfId="0" applyFont="1" applyFill="1" applyBorder="1"/>
    <xf numFmtId="0" fontId="3" fillId="60" borderId="59" xfId="0" applyFont="1" applyFill="1" applyBorder="1"/>
    <xf numFmtId="0" fontId="3" fillId="61" borderId="60" xfId="0" applyFont="1" applyFill="1" applyBorder="1"/>
    <xf numFmtId="0" fontId="2" fillId="62" borderId="61" xfId="0" applyFont="1" applyFill="1" applyBorder="1"/>
    <xf numFmtId="0" fontId="2" fillId="63" borderId="62" xfId="0" applyFont="1" applyFill="1" applyBorder="1"/>
    <xf numFmtId="0" fontId="2" fillId="64" borderId="63" xfId="0" applyFont="1" applyFill="1" applyBorder="1"/>
    <xf numFmtId="0" fontId="9" fillId="65" borderId="64" xfId="0" applyFont="1" applyFill="1" applyBorder="1"/>
    <xf numFmtId="0" fontId="9" fillId="66" borderId="65" xfId="0" applyFont="1" applyFill="1" applyBorder="1"/>
    <xf numFmtId="0" fontId="2" fillId="67" borderId="66" xfId="0" applyFont="1" applyFill="1" applyBorder="1"/>
    <xf numFmtId="0" fontId="2" fillId="0" borderId="0" xfId="0" applyFont="1" applyAlignment="1">
      <alignment horizontal="right" vertical="top"/>
    </xf>
    <xf numFmtId="0" fontId="9" fillId="0" borderId="35" xfId="0" applyFont="1" applyBorder="1" applyAlignment="1">
      <alignment vertical="top"/>
    </xf>
    <xf numFmtId="0" fontId="9" fillId="0" borderId="37" xfId="0" applyFont="1" applyBorder="1" applyAlignment="1">
      <alignment horizontal="justify" vertical="justify"/>
    </xf>
    <xf numFmtId="0" fontId="10" fillId="0" borderId="30" xfId="0" applyFont="1" applyBorder="1"/>
    <xf numFmtId="0" fontId="10" fillId="0" borderId="35" xfId="0" applyFont="1" applyBorder="1"/>
    <xf numFmtId="0" fontId="10" fillId="0" borderId="41" xfId="0" applyFont="1" applyBorder="1"/>
    <xf numFmtId="0" fontId="10" fillId="0" borderId="38" xfId="0" applyFont="1" applyBorder="1"/>
    <xf numFmtId="0" fontId="9" fillId="0" borderId="41" xfId="0" applyFont="1" applyBorder="1"/>
    <xf numFmtId="0" fontId="10" fillId="0" borderId="36" xfId="0" applyFont="1" applyBorder="1"/>
    <xf numFmtId="0" fontId="10" fillId="0" borderId="35" xfId="0" applyFont="1" applyBorder="1" applyAlignment="1">
      <alignment horizontal="justify" vertical="justify"/>
    </xf>
    <xf numFmtId="0" fontId="9" fillId="0" borderId="41" xfId="0" applyFont="1" applyBorder="1" applyAlignment="1">
      <alignment horizontal="justify" vertical="justify"/>
    </xf>
    <xf numFmtId="0" fontId="9" fillId="0" borderId="41" xfId="0" applyFont="1" applyBorder="1" applyAlignment="1">
      <alignment vertical="top"/>
    </xf>
    <xf numFmtId="0" fontId="10" fillId="0" borderId="41" xfId="0" applyFont="1" applyBorder="1" applyAlignment="1">
      <alignment horizontal="center"/>
    </xf>
    <xf numFmtId="0" fontId="10" fillId="0" borderId="38" xfId="0" applyFont="1" applyBorder="1" applyAlignment="1">
      <alignment horizontal="center"/>
    </xf>
    <xf numFmtId="2" fontId="10" fillId="0" borderId="41" xfId="0" applyNumberFormat="1" applyFont="1" applyBorder="1"/>
    <xf numFmtId="2" fontId="10" fillId="0" borderId="38" xfId="0" applyNumberFormat="1" applyFont="1" applyBorder="1"/>
    <xf numFmtId="0" fontId="10" fillId="0" borderId="32" xfId="0" applyFont="1" applyBorder="1"/>
    <xf numFmtId="0" fontId="10" fillId="0" borderId="33" xfId="0" applyFont="1" applyBorder="1"/>
    <xf numFmtId="0" fontId="10" fillId="0" borderId="34" xfId="0" applyFont="1" applyBorder="1"/>
    <xf numFmtId="0" fontId="9" fillId="0" borderId="30" xfId="0" applyFont="1" applyBorder="1" applyAlignment="1">
      <alignment horizontal="justify" vertical="justify"/>
    </xf>
    <xf numFmtId="2" fontId="9" fillId="0" borderId="38" xfId="0" applyNumberFormat="1" applyFont="1" applyBorder="1"/>
    <xf numFmtId="0" fontId="9" fillId="0" borderId="38" xfId="0" applyFont="1" applyBorder="1"/>
    <xf numFmtId="2" fontId="10" fillId="0" borderId="37" xfId="0" applyNumberFormat="1" applyFont="1" applyBorder="1"/>
    <xf numFmtId="0" fontId="10" fillId="0" borderId="36" xfId="0" applyFont="1" applyBorder="1" applyAlignment="1">
      <alignment horizontal="right"/>
    </xf>
    <xf numFmtId="0" fontId="9" fillId="66" borderId="65" xfId="0" applyFont="1" applyFill="1" applyBorder="1" applyAlignment="1">
      <alignment horizontal="right"/>
    </xf>
    <xf numFmtId="2" fontId="9" fillId="67" borderId="66" xfId="0" applyNumberFormat="1" applyFont="1" applyFill="1" applyBorder="1"/>
    <xf numFmtId="2" fontId="9" fillId="0" borderId="41" xfId="0" applyNumberFormat="1" applyFont="1" applyBorder="1"/>
    <xf numFmtId="0" fontId="9" fillId="0" borderId="37" xfId="0" applyFont="1" applyBorder="1" applyAlignment="1">
      <alignment horizontal="center"/>
    </xf>
    <xf numFmtId="0" fontId="9" fillId="0" borderId="41" xfId="0" applyFont="1" applyBorder="1" applyAlignment="1">
      <alignment horizontal="center"/>
    </xf>
    <xf numFmtId="2" fontId="10" fillId="0" borderId="31" xfId="0" applyNumberFormat="1" applyFont="1" applyBorder="1"/>
    <xf numFmtId="2" fontId="9" fillId="0" borderId="31" xfId="0" applyNumberFormat="1" applyFont="1" applyBorder="1"/>
    <xf numFmtId="0" fontId="3" fillId="0" borderId="0" xfId="0" applyFont="1" applyAlignment="1">
      <alignment horizontal="left" vertical="top"/>
    </xf>
    <xf numFmtId="0" fontId="2" fillId="0" borderId="0" xfId="0" applyFont="1" applyAlignment="1">
      <alignment vertical="top"/>
    </xf>
    <xf numFmtId="0" fontId="3" fillId="0" borderId="0" xfId="0" applyFont="1" applyAlignment="1">
      <alignment horizontal="center" vertical="top"/>
    </xf>
    <xf numFmtId="17" fontId="2" fillId="0" borderId="0" xfId="0" applyNumberFormat="1" applyFont="1" applyAlignment="1">
      <alignment vertical="justify"/>
    </xf>
    <xf numFmtId="17" fontId="2" fillId="0" borderId="0" xfId="0" applyNumberFormat="1" applyFont="1" applyAlignment="1">
      <alignment vertical="top"/>
    </xf>
    <xf numFmtId="17" fontId="3" fillId="0" borderId="0" xfId="0" applyNumberFormat="1" applyFont="1" applyAlignment="1">
      <alignment vertical="justify"/>
    </xf>
    <xf numFmtId="0" fontId="2" fillId="0" borderId="0" xfId="0" applyFont="1" applyAlignment="1">
      <alignment horizontal="left" vertical="justify"/>
    </xf>
    <xf numFmtId="0" fontId="5" fillId="0" borderId="0" xfId="0" applyFont="1" applyAlignment="1">
      <alignment horizontal="center" vertical="justify"/>
    </xf>
    <xf numFmtId="0" fontId="3" fillId="0" borderId="41" xfId="0" applyFont="1" applyBorder="1" applyAlignment="1">
      <alignment horizontal="left"/>
    </xf>
    <xf numFmtId="0" fontId="3" fillId="0" borderId="37" xfId="0" applyFont="1" applyBorder="1" applyAlignment="1">
      <alignment horizontal="left"/>
    </xf>
    <xf numFmtId="2" fontId="2" fillId="0" borderId="0" xfId="0" applyNumberFormat="1" applyFont="1" applyAlignment="1">
      <alignment horizontal="left"/>
    </xf>
    <xf numFmtId="0" fontId="2" fillId="0" borderId="41" xfId="0" applyFont="1" applyBorder="1" applyAlignment="1">
      <alignment horizontal="left"/>
    </xf>
    <xf numFmtId="2" fontId="2" fillId="0" borderId="0" xfId="0" applyNumberFormat="1" applyFont="1" applyAlignment="1">
      <alignment horizontal="right"/>
    </xf>
    <xf numFmtId="0" fontId="3" fillId="0" borderId="0" xfId="0" applyFont="1" applyAlignment="1">
      <alignment horizontal="justify" vertical="justify"/>
    </xf>
    <xf numFmtId="0" fontId="2" fillId="0" borderId="35" xfId="0" applyFont="1" applyBorder="1" applyAlignment="1">
      <alignment vertical="top"/>
    </xf>
    <xf numFmtId="0" fontId="3" fillId="0" borderId="36" xfId="0" applyFont="1" applyBorder="1" applyAlignment="1">
      <alignment vertical="top"/>
    </xf>
    <xf numFmtId="0" fontId="2" fillId="0" borderId="36" xfId="0" applyFont="1" applyBorder="1" applyAlignment="1">
      <alignment horizontal="left"/>
    </xf>
    <xf numFmtId="0" fontId="0" fillId="0" borderId="36" xfId="0" applyBorder="1"/>
    <xf numFmtId="0" fontId="2" fillId="0" borderId="38" xfId="0" applyFont="1" applyBorder="1" applyAlignment="1">
      <alignment horizontal="right"/>
    </xf>
    <xf numFmtId="0" fontId="2" fillId="0" borderId="67" xfId="0" applyFont="1" applyBorder="1" applyAlignment="1">
      <alignment horizontal="center"/>
    </xf>
    <xf numFmtId="2" fontId="3" fillId="0" borderId="32" xfId="0" applyNumberFormat="1" applyFont="1" applyBorder="1"/>
    <xf numFmtId="0" fontId="2" fillId="0" borderId="68" xfId="0" applyFont="1" applyBorder="1" applyAlignment="1">
      <alignment horizontal="center"/>
    </xf>
    <xf numFmtId="17" fontId="2" fillId="0" borderId="33" xfId="0" applyNumberFormat="1" applyFont="1" applyBorder="1"/>
    <xf numFmtId="2" fontId="3" fillId="0" borderId="34" xfId="0" applyNumberFormat="1" applyFont="1" applyBorder="1"/>
    <xf numFmtId="0" fontId="36" fillId="0" borderId="0" xfId="0" applyFont="1"/>
    <xf numFmtId="1" fontId="2" fillId="0" borderId="0" xfId="0" applyNumberFormat="1" applyFont="1" applyAlignment="1">
      <alignment horizontal="left"/>
    </xf>
    <xf numFmtId="2" fontId="2" fillId="0" borderId="38" xfId="0" applyNumberFormat="1" applyFont="1" applyBorder="1" applyAlignment="1">
      <alignment horizontal="right"/>
    </xf>
    <xf numFmtId="0" fontId="2" fillId="0" borderId="35" xfId="0" applyFont="1" applyBorder="1" applyAlignment="1">
      <alignment horizontal="center"/>
    </xf>
    <xf numFmtId="0" fontId="2" fillId="0" borderId="37" xfId="0" applyFont="1" applyBorder="1" applyAlignment="1">
      <alignment horizontal="center"/>
    </xf>
    <xf numFmtId="0" fontId="2" fillId="0" borderId="32" xfId="0" applyFont="1" applyBorder="1" applyAlignment="1">
      <alignment horizontal="center"/>
    </xf>
    <xf numFmtId="0" fontId="2" fillId="0" borderId="34" xfId="0" applyFont="1" applyBorder="1" applyAlignment="1">
      <alignment horizontal="center"/>
    </xf>
    <xf numFmtId="0" fontId="2" fillId="0" borderId="35" xfId="0" applyFont="1" applyBorder="1" applyAlignment="1">
      <alignment horizontal="left"/>
    </xf>
    <xf numFmtId="0" fontId="2" fillId="0" borderId="37" xfId="0" applyFont="1" applyBorder="1" applyAlignment="1">
      <alignment horizontal="left"/>
    </xf>
    <xf numFmtId="0" fontId="3" fillId="0" borderId="50" xfId="0" applyFont="1" applyBorder="1" applyAlignment="1">
      <alignment horizontal="center"/>
    </xf>
    <xf numFmtId="0" fontId="3" fillId="0" borderId="49" xfId="0" applyFont="1" applyBorder="1" applyAlignment="1">
      <alignment horizontal="center"/>
    </xf>
    <xf numFmtId="0" fontId="3" fillId="0" borderId="32" xfId="0" applyFont="1" applyBorder="1" applyAlignment="1">
      <alignment horizontal="center"/>
    </xf>
    <xf numFmtId="0" fontId="3" fillId="0" borderId="34" xfId="0" applyFont="1" applyBorder="1" applyAlignment="1">
      <alignment horizontal="center"/>
    </xf>
    <xf numFmtId="0" fontId="9" fillId="65" borderId="64" xfId="0" applyFont="1" applyFill="1" applyBorder="1" applyAlignment="1">
      <alignment horizontal="center"/>
    </xf>
    <xf numFmtId="0" fontId="9" fillId="66" borderId="65" xfId="0" applyFont="1" applyFill="1" applyBorder="1" applyAlignment="1">
      <alignment horizontal="center"/>
    </xf>
    <xf numFmtId="0" fontId="9" fillId="67" borderId="66" xfId="0" applyFont="1" applyFill="1" applyBorder="1" applyAlignment="1">
      <alignment horizontal="center"/>
    </xf>
    <xf numFmtId="0" fontId="3" fillId="0" borderId="0" xfId="0" applyFont="1" applyAlignment="1">
      <alignment horizontal="left" vertical="justify"/>
    </xf>
    <xf numFmtId="0" fontId="9" fillId="0" borderId="43" xfId="0" applyFont="1" applyBorder="1"/>
    <xf numFmtId="0" fontId="9" fillId="0" borderId="69" xfId="0" applyFont="1" applyBorder="1"/>
    <xf numFmtId="0" fontId="9" fillId="0" borderId="47" xfId="0" applyFont="1" applyBorder="1"/>
    <xf numFmtId="0" fontId="2" fillId="0" borderId="35" xfId="0" applyFont="1" applyBorder="1" applyAlignment="1">
      <alignment horizontal="justify" vertical="justify"/>
    </xf>
    <xf numFmtId="0" fontId="2" fillId="0" borderId="36" xfId="0" applyFont="1" applyBorder="1" applyAlignment="1">
      <alignment horizontal="justify" vertical="justify"/>
    </xf>
    <xf numFmtId="0" fontId="2" fillId="0" borderId="37" xfId="0" applyFont="1" applyBorder="1" applyAlignment="1">
      <alignment horizontal="justify" vertical="justify"/>
    </xf>
    <xf numFmtId="0" fontId="37" fillId="0" borderId="0" xfId="0" applyFont="1"/>
    <xf numFmtId="0" fontId="38" fillId="0" borderId="0" xfId="0" applyFont="1"/>
    <xf numFmtId="0" fontId="39" fillId="0" borderId="0" xfId="0" applyFont="1" applyAlignment="1">
      <alignment horizontal="center"/>
    </xf>
    <xf numFmtId="0" fontId="39" fillId="0" borderId="0" xfId="0" applyFont="1"/>
    <xf numFmtId="0" fontId="39" fillId="0" borderId="32" xfId="0" applyFont="1" applyBorder="1"/>
    <xf numFmtId="0" fontId="38" fillId="0" borderId="33" xfId="0" applyFont="1" applyBorder="1"/>
    <xf numFmtId="0" fontId="38" fillId="0" borderId="34" xfId="0" applyFont="1" applyBorder="1"/>
    <xf numFmtId="0" fontId="39" fillId="0" borderId="34" xfId="0" applyFont="1" applyBorder="1" applyAlignment="1">
      <alignment horizontal="right"/>
    </xf>
    <xf numFmtId="0" fontId="39" fillId="0" borderId="37" xfId="0" applyFont="1" applyBorder="1" applyAlignment="1">
      <alignment horizontal="right"/>
    </xf>
    <xf numFmtId="0" fontId="3" fillId="71" borderId="70" xfId="0" applyFont="1" applyFill="1"/>
    <xf numFmtId="0" fontId="19" fillId="2" borderId="1" xfId="1"/>
    <xf numFmtId="0" fontId="19" fillId="3" borderId="2" xfId="2"/>
    <xf numFmtId="0" fontId="19" fillId="4" borderId="3" xfId="3"/>
    <xf numFmtId="0" fontId="19" fillId="5" borderId="4" xfId="4"/>
    <xf numFmtId="0" fontId="19" fillId="6" borderId="5" xfId="5"/>
    <xf numFmtId="0" fontId="19" fillId="7" borderId="6" xfId="6"/>
    <xf numFmtId="0" fontId="19" fillId="8" borderId="7" xfId="7"/>
    <xf numFmtId="0" fontId="19" fillId="9" borderId="8" xfId="8"/>
    <xf numFmtId="0" fontId="19" fillId="10" borderId="9" xfId="9"/>
    <xf numFmtId="0" fontId="19" fillId="5" borderId="4" xfId="10"/>
    <xf numFmtId="0" fontId="19" fillId="8" borderId="7" xfId="11"/>
    <xf numFmtId="0" fontId="19" fillId="11" borderId="10" xfId="12"/>
    <xf numFmtId="0" fontId="20" fillId="12" borderId="11" xfId="13"/>
    <xf numFmtId="0" fontId="20" fillId="9" borderId="8" xfId="14"/>
    <xf numFmtId="0" fontId="20" fillId="10" borderId="9" xfId="15"/>
    <xf numFmtId="0" fontId="20" fillId="13" borderId="12" xfId="16"/>
    <xf numFmtId="0" fontId="20" fillId="14" borderId="13" xfId="17"/>
    <xf numFmtId="0" fontId="20" fillId="15" borderId="14" xfId="18"/>
    <xf numFmtId="0" fontId="20" fillId="16" borderId="15" xfId="19"/>
    <xf numFmtId="0" fontId="20" fillId="17" borderId="16" xfId="20"/>
    <xf numFmtId="0" fontId="20" fillId="18" borderId="17" xfId="21"/>
    <xf numFmtId="0" fontId="20" fillId="13" borderId="12" xfId="22"/>
    <xf numFmtId="0" fontId="20" fillId="14" borderId="13" xfId="23"/>
    <xf numFmtId="0" fontId="20" fillId="19" borderId="18" xfId="24"/>
    <xf numFmtId="0" fontId="21" fillId="3" borderId="2" xfId="25"/>
    <xf numFmtId="0" fontId="22" fillId="20" borderId="19" xfId="26"/>
    <xf numFmtId="0" fontId="23" fillId="21" borderId="20" xfId="27"/>
    <xf numFmtId="167" fontId="0" fillId="0" borderId="0" xfId="28"/>
    <xf numFmtId="165" fontId="0" fillId="0" borderId="0" xfId="29"/>
    <xf numFmtId="166" fontId="0" fillId="0" borderId="0" xfId="30"/>
    <xf numFmtId="164" fontId="0" fillId="0" borderId="0" xfId="31"/>
    <xf numFmtId="0" fontId="24" fillId="0" borderId="0" xfId="32"/>
    <xf numFmtId="0" fontId="7" fillId="0" borderId="0" xfId="33">
      <alignment vertical="top"/>
    </xf>
    <xf numFmtId="0" fontId="25" fillId="4" borderId="3" xfId="34"/>
    <xf numFmtId="0" fontId="26" fillId="0" borderId="21" xfId="35"/>
    <xf numFmtId="0" fontId="27" fillId="0" borderId="22" xfId="36"/>
    <xf numFmtId="0" fontId="28" fillId="0" borderId="23" xfId="37"/>
    <xf numFmtId="0" fontId="28" fillId="0" borderId="0" xfId="38"/>
    <xf numFmtId="0" fontId="6" fillId="0" borderId="0" xfId="39">
      <alignment vertical="top"/>
    </xf>
    <xf numFmtId="0" fontId="29" fillId="25" borderId="24" xfId="40"/>
    <xf numFmtId="0" fontId="30" fillId="0" borderId="25" xfId="41"/>
    <xf numFmtId="0" fontId="31" fillId="27" borderId="26" xfId="42"/>
    <xf numFmtId="0" fontId="0" fillId="28" borderId="27" xfId="43"/>
    <xf numFmtId="0" fontId="32" fillId="29" borderId="28" xfId="44"/>
    <xf numFmtId="9" fontId="0" fillId="0" borderId="0" xfId="45"/>
    <xf numFmtId="0" fontId="33" fillId="0" borderId="0" xfId="46"/>
    <xf numFmtId="0" fontId="34" fillId="0" borderId="29" xfId="47"/>
    <xf numFmtId="0" fontId="35" fillId="0" borderId="0" xfId="48"/>
    <xf numFmtId="0" fontId="2" fillId="0" borderId="50" xfId="0" applyFont="1" applyBorder="1" applyAlignment="1" quotePrefix="1">
      <alignment horizontal="left"/>
    </xf>
    <xf numFmtId="0" fontId="2" fillId="0" borderId="0" xfId="0" applyFont="1" applyAlignment="1" quotePrefix="1">
      <alignment/>
    </xf>
    <xf numFmtId="16" fontId="2" fillId="0" borderId="51" xfId="0" applyNumberFormat="1" applyFont="1" applyBorder="1" applyAlignment="1" quotePrefix="1">
      <alignment/>
    </xf>
    <xf numFmtId="0" fontId="2" fillId="0" borderId="38" xfId="0" applyFont="1" applyBorder="1" applyAlignment="1" quotePrefix="1">
      <alignment/>
    </xf>
    <xf numFmtId="0" fontId="2" fillId="0" borderId="41" xfId="0" applyFont="1" applyBorder="1" applyAlignment="1" quotePrefix="1">
      <alignment/>
    </xf>
    <xf numFmtId="0" fontId="2" fillId="0" borderId="40" xfId="0" applyFont="1" applyBorder="1" applyAlignment="1" quotePrefix="1">
      <alignment/>
    </xf>
    <xf numFmtId="0" fontId="2" fillId="55" borderId="54" xfId="0" applyFont="1" applyFill="1" applyAlignment="1" quotePrefix="1">
      <alignment/>
    </xf>
    <xf numFmtId="0" fontId="2" fillId="63" borderId="62" xfId="0" applyFont="1" applyFill="1" applyBorder="1" applyAlignment="1" quotePrefix="1">
      <alignment/>
    </xf>
  </cellXfs>
  <cellStyles count="49">
    <cellStyle name="Normal" xfId="0" builtinId="0" customBuiltin="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ustomBuiltin="1"/>
    <cellStyle name="Comma [0]" xfId="29" builtinId="6" customBuiltin="1"/>
    <cellStyle name="Currency" xfId="30" builtinId="4" customBuiltin="1"/>
    <cellStyle name="Currency [0]" xfId="31" builtinId="7" customBuiltin="1"/>
    <cellStyle name="Explanatory Text" xfId="32" builtinId="53" customBuiltin="1"/>
    <cellStyle name="Followed Hyperlink" xfId="33" builtinId="9" customBuiltin="1"/>
    <cellStyle name="Good" xfId="34" builtinId="26" customBuiltin="1"/>
    <cellStyle name="Heading 1" xfId="35" builtinId="16" customBuiltin="1"/>
    <cellStyle name="Heading 2" xfId="36" builtinId="17" customBuiltin="1"/>
    <cellStyle name="Heading 3" xfId="37" builtinId="18" customBuiltin="1"/>
    <cellStyle name="Heading 4" xfId="38" builtinId="19" customBuiltin="1"/>
    <cellStyle name="Hyperlink" xfId="39" builtinId="8" customBuiltin="1"/>
    <cellStyle name="Input" xfId="40" builtinId="20" customBuiltin="1"/>
    <cellStyle name="Linked Cell" xfId="41" builtinId="24" customBuiltin="1"/>
    <cellStyle name="Neutral" xfId="42" builtinId="28" customBuiltin="1"/>
    <cellStyle name="Note" xfId="43" builtinId="10" customBuiltin="1"/>
    <cellStyle name="Output" xfId="44" builtinId="21" customBuiltin="1"/>
    <cellStyle name="Percent" xfId="45" builtinId="5" customBuiltin="1"/>
    <cellStyle name="Title" xfId="46" builtinId="15" customBuiltin="1"/>
    <cellStyle name="Total" xfId="47" builtinId="25" customBuiltin="1"/>
    <cellStyle name="Warning Text" xfId="48" builtinId="11" customBuiltin="1"/>
  </cellStyles>
  <dxfs count="1">
    <dxf>
      <font>
        <extLst>
          <ext uri="smNativeData">
            <pm:charSpec xmlns:pm="smNativeData" id="19799">
              <pm:latin lang="default"/>
              <pm:cs face="Times New Roman" lang="default"/>
              <pm:ea face="SimSun" lang="default"/>
            </pm:charSpec>
          </ext>
        </extLst>
      </font>
    </dxf>
  </dxfs>
  <tableStyles count="0"/>
  <extLst>
    <ext uri="smNativeData">
      <pm:charStyles xmlns:pm="smNativeData" id="19799" count="1">
        <pm:charStyle name="Normal" fontId="1" Id="1"/>
      </pm:charStyles>
      <pm:colors xmlns:pm="smNativeData" id="19799" count="28">
        <pm:color name="Periwinkle" rgb="9999FF"/>
        <pm:color name="Plum" rgb="993366"/>
        <pm:color name="Ivory" rgb="FFFFCC"/>
        <pm:color name="Bright Cyan" rgb="CCFFFF"/>
        <pm:color name="Deep Purple" rgb="660066"/>
        <pm:color name="Coral" rgb="FF8080"/>
        <pm:color name="Ocean Blue" rgb="0066CC"/>
        <pm:color name="Ice Blue" rgb="CCCCFF"/>
        <pm:color name="Sky Blue" rgb="00CCFF"/>
        <pm:color name="Light Green" rgb="CCFFCC"/>
        <pm:color name="Light Yellow" rgb="FFFF99"/>
        <pm:color name="Pale Blue" rgb="99CCFF"/>
        <pm:color name="Light Magenta" rgb="FF99CC"/>
        <pm:color name="Lavender" rgb="CC99FF"/>
        <pm:color name="Tan" rgb="FFCC99"/>
        <pm:color name="Light Blue" rgb="3366FF"/>
        <pm:color name="Aqua" rgb="33CCCC"/>
        <pm:color name="Lime" rgb="99CC00"/>
        <pm:color name="Gold" rgb="FFCC00"/>
        <pm:color name="Bright Orange" rgb="FF9900"/>
        <pm:color name="Orange" rgb="FF6600"/>
        <pm:color name="Blue Gray" rgb="666699"/>
        <pm:color name="Blue Green" rgb="003366"/>
        <pm:color name="Sea Green" rgb="339966"/>
        <pm:color name="Dark Green1" rgb="003300"/>
        <pm:color name="Olive" rgb="333300"/>
        <pm:color name="Brown1" rgb="993300"/>
        <pm:color name="Indigo Blue" rgb="333399"/>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externalLink" Target="externalLinks/externalLink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_rels/drawing1.xml.rels><?xml version="1.0" encoding="UTF-8" standalone="yes" ?>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0</xdr:row>
      <xdr:rowOff>111760</xdr:rowOff>
    </xdr:from>
    <xdr:to>
      <xdr:col>4</xdr:col>
      <xdr:colOff>247650</xdr:colOff>
      <xdr:row>3</xdr:row>
      <xdr:rowOff>102235</xdr:rowOff>
    </xdr:to>
    <xdr:pic macro="">
      <xdr:nvPicPr>
        <xdr:cNvPr id="2" name="Picture 2"/>
        <xdr:cNvPicPr>
          <a:picLocks noChangeAspect="1"/>
          <a:extLst>
            <a:ext uri="smNativeData">
              <pm:smNativeData xmlns:pm="smNativeData" val="SMDATA_15_V00AABMAAAAlAAAAEQAAAK8AAAAAkAAAAEgAAACQAAAASAAAAAAAAAAAAAAAAAAAAAEAAABQAAAAAAAAAAAA4D8AAAAAAADgPwAAAAAAAOA/AAAAAAAA4D8AAAAAAADgPwAAAAAAAOA/AAAAAAAA4D8AAAAAAADgPwAAAAAAAOA/AAAAAAAA4D8CAAAAjAAAAAAAAAAAAAAA////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AcAAAA4AAAAAAAAAAAAAAAAAAAA////AAAAAAAAAAAAAAAAAAAAAAAAAAAAAAAAAAAAAABkAAAAZAAAAAAAAAAjAAAABAAAAGQAAAAXAAAAFAAAAAAAAAAAAAAA/38AAP9/AAAAAAAACQAAAAQAAABdAAAAHgAAAGgAAAAAAAAAAAAAAAAAAAAAAAAAAAAAABAnAAAQJwAAAAAAAAAAAAAAAAAAAAAAAAAAAAAAAAAAAAAAAAAAAAAUAAAAAAAAAMDA/wAAAAAAZAAAADIAAAAAAAAAZAAAAAAAAAB/f38ACgAAACIAAAAYAAAAAAAAAAAAAAAAAAAAAAAAAAAAAAAAAAAAJAAAACQAAAAAAAAABwAAAAAAAAAAAAAAAAAAAAAAAAAAAAAAAAAAAH9/fwAlAAAAWAAAAAAAAAAAAAAAAAAAAAAAAAAAAAAAAAAAAAAAAAAAAAAAAAAAAAAAAAAAAAAAPwAAAAAAAACghgEAAAAAAAAAAAAAAAAADAAAAAEAAAAAAAAAAAAAAAAAAAAhAAAAMAAAACwAAAAAAAAAAgAAAGgCbgMDAAAABAAAADUCGwHbBgAAsAAAAEYFAAD+AwAAAQAAAA=="/>
            </a:ext>
          </a:extLst>
        </xdr:cNvPicPr>
      </xdr:nvPicPr>
      <xdr:blipFill>
        <a:blip xmlns:r="http://schemas.openxmlformats.org/officeDocument/2006/relationships" r:embed="rId1"/>
        <a:stretch>
          <a:fillRect/>
        </a:stretch>
      </xdr:blipFill>
      <xdr:spPr>
        <a:xfrm>
          <a:off x="1114425" y="111760"/>
          <a:ext cx="857250" cy="648970"/>
        </a:xfrm>
        <a:prstGeom prst="rect">
          <a:avLst/>
        </a:prstGeom>
        <a:noFill/>
        <a:ln w="12700" cap="flat">
          <a:noFill/>
          <a:prstDash val="solid"/>
          <a:headEnd type="none" w="med" len="med"/>
          <a:tailEnd type="none" w="med" len="med"/>
        </a:ln>
        <a:effectLst/>
      </xdr:spPr>
    </xdr:pic>
    <xdr:clientData/>
  </xdr:twoCellAnchor>
</xdr:wsDr>
</file>

<file path=xl/externalLinks/_rels/externalLink1.xml.rels><?xml version="1.0" encoding="UTF-8" standalone="yes" ?>
<Relationships xmlns="http://schemas.openxmlformats.org/package/2006/relationships"><Relationship Id="rId1" Type="http://schemas.openxmlformats.org/officeDocument/2006/relationships/externalLinkPath" Target="..\..\..\2024-25\NICL\025-2024-25--Navdesh%20Chd---9488%20Alto.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3"/>
      <sheetName val="Sheet2"/>
      <sheetName val="Sheet6"/>
      <sheetName val="Sheet5"/>
      <sheetName val="Sheet4"/>
      <sheetName val="Sheet7"/>
    </sheetNames>
    <sheetDataSet>
      <sheetData sheetId="0">
        <row r="142">
          <cell r="G142">
            <v>1000</v>
          </cell>
        </row>
        <row r="145">
          <cell r="G145">
            <v>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9525" cap="flat">
          <a:solidFill>
            <a:srgbClr val="000000"/>
          </a:solidFill>
          <a:prstDash val="solid"/>
          <a:headEnd type="none" w="med" len="med"/>
          <a:tailEnd type="none" w="med" len="med"/>
        </a:ln>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3.xml.rels><?xml version="1.0" encoding="UTF-8" standalone="yes" ?>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dimension ref="A2:Y222"/>
  <sheetViews>
    <sheetView tabSelected="1" view="normal" topLeftCell="A10" workbookViewId="0">
      <selection activeCell="E21" sqref="E21"/>
    </sheetView>
  </sheetViews>
  <sheetFormatPr defaultRowHeight="13.45"/>
  <cols>
    <col min="1" max="1" width="5.000000" customWidth="1" style="1"/>
    <col min="2" max="2" width="6.000000" customWidth="1" style="1"/>
    <col min="3" max="3" width="14.833333" customWidth="1" style="1"/>
    <col min="4" max="4" width="9.333333" customWidth="1" style="1"/>
    <col min="5" max="5" width="9.833333" customWidth="1" style="1"/>
    <col min="6" max="9" width="11.833333" customWidth="1" style="1"/>
    <col min="10" max="10" width="9.166667" customWidth="1" style="1"/>
    <col min="11" max="11" width="14.833333" customWidth="1" style="1"/>
    <col min="12" max="12" width="9.500000" customWidth="1" style="1"/>
    <col min="13" max="13" width="19.333333" customWidth="1" style="1"/>
    <col min="14" max="14" width="19.000000" customWidth="1" style="1"/>
    <col min="15" max="15" width="11.333333" customWidth="1" style="1"/>
    <col min="16" max="16" width="11.500000" customWidth="1" style="1"/>
    <col min="17" max="17" width="11.166667" customWidth="1" style="1"/>
    <col min="18" max="18" width="11.500000" customWidth="1" style="1"/>
    <col min="19" max="19" width="11.333333" customWidth="1" style="1"/>
    <col min="20" max="20" width="11.166667" customWidth="1" style="1"/>
    <col min="21" max="257" width="9.333333" customWidth="1" style="1"/>
  </cols>
  <sheetData>
    <row r="2" spans="2:9">
      <c r="B2" s="51" t="s">
        <v>0</v>
      </c>
      <c r="I2" s="1" t="s">
        <v>1</v>
      </c>
    </row>
    <row r="3" spans="2:9">
      <c r="B3" s="1" t="s">
        <v>2</v>
      </c>
      <c r="C3" s="3"/>
      <c r="I3" s="1" t="s">
        <v>3</v>
      </c>
    </row>
    <row r="4" spans="2:9">
      <c r="B4" s="1" t="s">
        <v>4</v>
      </c>
      <c r="H4" s="3"/>
      <c r="I4" s="1" t="s">
        <v>5</v>
      </c>
    </row>
    <row r="5" spans="2:11">
      <c r="B5" s="6" t="s">
        <v>6</v>
      </c>
      <c r="C5" s="6"/>
      <c r="D5" s="6"/>
      <c r="E5" s="6"/>
      <c r="F5" s="6"/>
      <c r="G5" s="6"/>
      <c r="H5" s="6"/>
      <c r="I5" s="6" t="s">
        <v>7</v>
      </c>
      <c r="J5" s="6"/>
      <c r="K5" s="6"/>
    </row>
    <row r="6" spans="2:11" ht="3" customHeight="1">
      <c r="B6" s="50"/>
      <c r="C6" s="50"/>
      <c r="D6" s="50"/>
      <c r="E6" s="50"/>
      <c r="F6" s="50"/>
      <c r="G6" s="50"/>
      <c r="H6" s="50"/>
      <c r="I6" s="50"/>
      <c r="J6" s="50"/>
      <c r="K6" s="50"/>
    </row>
    <row r="7" spans="1:1" ht="4.50" customHeight="1"/>
    <row r="8" spans="2:11">
      <c r="B8" s="3" t="s">
        <v>8</v>
      </c>
      <c r="C8" s="1" t="s">
        <v>9</v>
      </c>
      <c r="D8" s="13"/>
      <c r="J8" s="8" t="s">
        <v>10</v>
      </c>
      <c r="K8" s="16" t="s">
        <v>11</v>
      </c>
    </row>
    <row r="9" spans="2:11" ht="4.50" customHeight="1">
      <c r="B9" s="3"/>
      <c r="J9" s="8"/>
      <c r="K9" s="9"/>
    </row>
    <row r="10" spans="2:2">
      <c r="B10" s="10" t="s">
        <v>12</v>
      </c>
    </row>
    <row r="11" spans="2:11" ht="26.25" customHeight="1">
      <c r="B11" s="17" t="s">
        <v>13</v>
      </c>
      <c r="C11" s="17"/>
      <c r="D11" s="17"/>
      <c r="E11" s="17"/>
      <c r="F11" s="17"/>
      <c r="G11" s="17"/>
      <c r="H11" s="17"/>
      <c r="I11" s="17"/>
      <c r="J11" s="17"/>
      <c r="K11" s="17"/>
    </row>
    <row r="12" spans="2:4" ht="12.75" customHeight="1">
      <c r="B12" s="12" t="n">
        <v>1</v>
      </c>
      <c r="C12" s="234" t="s">
        <v>14</v>
      </c>
      <c r="D12" s="235"/>
    </row>
    <row r="13" spans="2:11">
      <c r="B13" s="11"/>
      <c r="C13" s="3" t="s">
        <v>15</v>
      </c>
      <c r="E13" s="12"/>
      <c r="F13" s="11" t="s">
        <v>16</v>
      </c>
      <c r="G13" s="1" t="s">
        <v>17</v>
      </c>
      <c r="J13" s="8" t="s">
        <v>18</v>
      </c>
      <c r="K13" s="102" t="n">
        <v>1320000</v>
      </c>
    </row>
    <row r="14" spans="1:25">
      <c r="A14" s="10"/>
      <c r="C14" s="1" t="s">
        <v>19</v>
      </c>
      <c r="E14" s="12"/>
      <c r="F14" s="11" t="s">
        <v>16</v>
      </c>
      <c r="G14" s="1" t="s">
        <v>20</v>
      </c>
      <c r="W14" s="1" t="s">
        <v>21</v>
      </c>
      <c r="X14" s="1" t="s">
        <v>22</v>
      </c>
      <c r="Y14" s="1" t="s">
        <v>23</v>
      </c>
    </row>
    <row r="15" spans="5:23">
      <c r="E15" s="12"/>
      <c r="F15" s="12"/>
      <c r="G15" s="1" t="s">
        <v>24</v>
      </c>
      <c r="W15" s="1" t="n">
        <v>64284</v>
      </c>
    </row>
    <row r="16" spans="3:14">
      <c r="C16" s="1" t="s">
        <v>25</v>
      </c>
      <c r="E16" s="12"/>
      <c r="F16" s="11" t="s">
        <v>16</v>
      </c>
      <c r="G16" s="11" t="s">
        <v>26</v>
      </c>
      <c r="J16" s="8" t="s">
        <v>27</v>
      </c>
      <c r="K16" s="1" t="s">
        <v>28</v>
      </c>
      <c r="N16" s="11" t="n">
        <v>231390</v>
      </c>
    </row>
    <row r="17" spans="1:1" ht="12.75" customHeight="1"/>
    <row r="18" spans="2:7">
      <c r="B18" s="11"/>
      <c r="C18" s="3" t="s">
        <v>29</v>
      </c>
      <c r="E18" s="12"/>
      <c r="F18" s="11" t="s">
        <v>16</v>
      </c>
      <c r="G18" s="1" t="s">
        <v>30</v>
      </c>
    </row>
    <row r="19" spans="1:17" ht="12.75" customHeight="1">
      <c r="A19" s="11"/>
      <c r="C19" s="1" t="s">
        <v>31</v>
      </c>
      <c r="E19" s="12"/>
      <c r="F19" s="187" t="s">
        <v>16</v>
      </c>
      <c r="G19" s="191" t="s">
        <v>32</v>
      </c>
      <c r="H19" s="191"/>
      <c r="I19" s="191"/>
      <c r="J19" s="191"/>
      <c r="K19" s="191"/>
      <c r="Q19" s="1" t="s">
        <v>33</v>
      </c>
    </row>
    <row r="20" spans="1:17">
      <c r="A20" s="11"/>
      <c r="C20" s="1" t="s">
        <v>34</v>
      </c>
      <c r="E20" s="12"/>
      <c r="F20" s="11" t="s">
        <v>16</v>
      </c>
      <c r="G20" s="65" t="s">
        <v>35</v>
      </c>
      <c r="Q20" s="1" t="s">
        <v>36</v>
      </c>
    </row>
    <row r="21" spans="1:17" ht="12.75" customHeight="1">
      <c r="A21" s="11"/>
      <c r="B21" s="3"/>
      <c r="Q21" s="1" t="s">
        <v>37</v>
      </c>
    </row>
    <row r="22" spans="2:7">
      <c r="B22" s="11"/>
      <c r="C22" s="3" t="s">
        <v>38</v>
      </c>
      <c r="E22" s="236"/>
      <c r="F22" s="11" t="s">
        <v>16</v>
      </c>
      <c r="G22" s="1" t="s">
        <v>39</v>
      </c>
    </row>
    <row r="23" spans="1:2">
      <c r="A23" s="11"/>
      <c r="B23" s="3"/>
    </row>
    <row r="24" spans="2:7">
      <c r="B24" s="11" t="n">
        <v>2</v>
      </c>
      <c r="C24" s="234" t="s">
        <v>40</v>
      </c>
      <c r="D24" s="243" t="s">
        <v>41</v>
      </c>
      <c r="E24" s="12"/>
      <c r="F24" s="11" t="s">
        <v>16</v>
      </c>
      <c r="G24" s="3" t="s">
        <v>42</v>
      </c>
    </row>
    <row r="25" spans="3:9">
      <c r="C25" s="1" t="s">
        <v>43</v>
      </c>
      <c r="E25" s="12"/>
      <c r="F25" s="11" t="s">
        <v>16</v>
      </c>
      <c r="G25" s="3" t="s">
        <v>44</v>
      </c>
      <c r="I25" s="3"/>
    </row>
    <row r="26" spans="3:7">
      <c r="C26" s="1" t="s">
        <v>45</v>
      </c>
      <c r="E26" s="12"/>
      <c r="F26" s="11" t="s">
        <v>16</v>
      </c>
      <c r="G26" s="13" t="s">
        <v>46</v>
      </c>
    </row>
    <row r="27" spans="3:7">
      <c r="C27" s="1" t="s">
        <v>47</v>
      </c>
      <c r="E27" s="12"/>
      <c r="F27" s="11" t="s">
        <v>16</v>
      </c>
      <c r="G27" s="13" t="s">
        <v>48</v>
      </c>
    </row>
    <row r="28" spans="3:11">
      <c r="C28" s="19"/>
      <c r="D28" s="20"/>
      <c r="E28" s="107"/>
      <c r="F28" s="108"/>
      <c r="G28" s="218" t="s">
        <v>49</v>
      </c>
      <c r="H28" s="219"/>
      <c r="I28" s="214" t="s">
        <v>50</v>
      </c>
      <c r="J28" s="215"/>
      <c r="K28" s="109" t="s">
        <v>51</v>
      </c>
    </row>
    <row r="29" spans="3:11">
      <c r="C29" s="2" t="s">
        <v>52</v>
      </c>
      <c r="E29" s="12"/>
      <c r="F29" s="11" t="s">
        <v>16</v>
      </c>
      <c r="G29" s="292" t="s">
        <v>53</v>
      </c>
      <c r="H29" s="92"/>
      <c r="I29" s="214" t="str">
        <f>G29</f>
        <v>033264</v>
      </c>
      <c r="J29" s="215"/>
      <c r="K29" s="109" t="str">
        <f>G29</f>
        <v>033264</v>
      </c>
    </row>
    <row r="30" spans="3:11">
      <c r="C30" s="5" t="s">
        <v>54</v>
      </c>
      <c r="D30" s="6"/>
      <c r="E30" s="105"/>
      <c r="F30" s="106" t="s">
        <v>16</v>
      </c>
      <c r="G30" s="218" t="n">
        <v>172413</v>
      </c>
      <c r="H30" s="219"/>
      <c r="I30" s="216">
        <f>G30</f>
        <v>172413</v>
      </c>
      <c r="J30" s="217"/>
      <c r="K30" s="110">
        <f>G30</f>
        <v>172413</v>
      </c>
    </row>
    <row r="31" spans="3:7">
      <c r="C31" s="1" t="s">
        <v>55</v>
      </c>
      <c r="E31" s="3"/>
      <c r="F31" s="11" t="s">
        <v>16</v>
      </c>
      <c r="G31" s="3" t="s">
        <v>56</v>
      </c>
    </row>
    <row r="32" spans="3:13">
      <c r="C32" s="1" t="s">
        <v>57</v>
      </c>
      <c r="E32" s="12"/>
      <c r="F32" s="11" t="s">
        <v>16</v>
      </c>
      <c r="G32" s="1" t="s">
        <v>58</v>
      </c>
      <c r="M32" s="13"/>
    </row>
    <row r="33" spans="3:7">
      <c r="C33" s="1" t="s">
        <v>59</v>
      </c>
      <c r="E33" s="12"/>
      <c r="F33" s="11" t="s">
        <v>16</v>
      </c>
      <c r="G33" s="1" t="s">
        <v>60</v>
      </c>
    </row>
    <row r="34" spans="3:7">
      <c r="C34" s="1" t="s">
        <v>61</v>
      </c>
      <c r="E34" s="12"/>
      <c r="F34" s="11" t="s">
        <v>16</v>
      </c>
      <c r="G34" s="1" t="s">
        <v>62</v>
      </c>
    </row>
    <row r="35" spans="3:11">
      <c r="C35" s="1" t="s">
        <v>63</v>
      </c>
      <c r="E35" s="12"/>
      <c r="F35" s="11" t="s">
        <v>16</v>
      </c>
      <c r="G35" s="293" t="s">
        <v>64</v>
      </c>
      <c r="J35" s="86" t="s">
        <v>65</v>
      </c>
      <c r="K35" s="92"/>
    </row>
    <row r="36" spans="3:11">
      <c r="C36" s="1" t="s">
        <v>66</v>
      </c>
      <c r="E36" s="12"/>
      <c r="F36" s="11" t="s">
        <v>16</v>
      </c>
      <c r="G36" s="1" t="s">
        <v>67</v>
      </c>
      <c r="J36" s="24" t="s">
        <v>68</v>
      </c>
      <c r="K36" s="7" t="s">
        <v>69</v>
      </c>
    </row>
    <row r="37" spans="3:16">
      <c r="C37" s="1" t="s">
        <v>70</v>
      </c>
      <c r="E37" s="12"/>
      <c r="F37" s="11" t="s">
        <v>16</v>
      </c>
      <c r="G37" s="13" t="n">
        <v>5</v>
      </c>
      <c r="P37" s="3"/>
    </row>
    <row r="38" spans="3:16">
      <c r="C38" s="1" t="s">
        <v>71</v>
      </c>
      <c r="E38" s="12"/>
      <c r="F38" s="11" t="s">
        <v>16</v>
      </c>
      <c r="G38" s="1" t="s">
        <v>72</v>
      </c>
      <c r="P38" s="3"/>
    </row>
    <row r="39" spans="3:16">
      <c r="C39" s="1" t="s">
        <v>73</v>
      </c>
      <c r="E39" s="12"/>
      <c r="F39" s="11" t="s">
        <v>16</v>
      </c>
      <c r="G39" s="1" t="str">
        <f>G18</f>
        <v>Mr JAGDEEP KUMAR</v>
      </c>
      <c r="P39" s="3"/>
    </row>
    <row r="40" spans="5:6">
      <c r="E40" s="15"/>
      <c r="F40" s="15"/>
    </row>
    <row r="41" spans="2:7">
      <c r="B41" s="11" t="n">
        <v>3</v>
      </c>
      <c r="C41" s="237" t="s">
        <v>74</v>
      </c>
      <c r="D41" s="235"/>
      <c r="E41" s="236"/>
      <c r="F41" s="11" t="s">
        <v>16</v>
      </c>
      <c r="G41" s="3" t="s">
        <v>75</v>
      </c>
    </row>
    <row r="42" spans="3:11">
      <c r="C42" s="1" t="s">
        <v>76</v>
      </c>
      <c r="E42" s="12"/>
      <c r="F42" s="11" t="s">
        <v>16</v>
      </c>
      <c r="G42" s="1" t="s">
        <v>30</v>
      </c>
      <c r="J42" s="192" t="s">
        <v>77</v>
      </c>
      <c r="K42" s="190" t="s">
        <v>78</v>
      </c>
    </row>
    <row r="43" spans="3:9" ht="12.75" customHeight="1">
      <c r="C43" s="188" t="s">
        <v>79</v>
      </c>
      <c r="D43" s="188"/>
      <c r="E43" s="189"/>
      <c r="F43" s="187" t="s">
        <v>16</v>
      </c>
      <c r="G43" s="191" t="s">
        <v>80</v>
      </c>
      <c r="H43" s="190"/>
      <c r="I43" s="190"/>
    </row>
    <row r="44" spans="3:11">
      <c r="C44" s="1" t="s">
        <v>81</v>
      </c>
      <c r="E44" s="12"/>
      <c r="F44" s="11" t="s">
        <v>16</v>
      </c>
      <c r="G44" s="13" t="s">
        <v>82</v>
      </c>
      <c r="J44" s="8" t="s">
        <v>83</v>
      </c>
      <c r="K44" s="1" t="s">
        <v>84</v>
      </c>
    </row>
    <row r="45" spans="3:9">
      <c r="C45" s="3" t="s">
        <v>85</v>
      </c>
      <c r="E45" s="12"/>
      <c r="F45" s="11" t="s">
        <v>16</v>
      </c>
      <c r="G45" s="11" t="s">
        <v>86</v>
      </c>
      <c r="I45" s="3" t="s">
        <v>87</v>
      </c>
    </row>
    <row r="46" spans="3:7">
      <c r="C46" s="1" t="s">
        <v>88</v>
      </c>
      <c r="E46" s="12"/>
      <c r="F46" s="11" t="s">
        <v>16</v>
      </c>
      <c r="G46" s="1" t="s">
        <v>89</v>
      </c>
    </row>
    <row r="47" spans="3:7">
      <c r="C47" s="1" t="s">
        <v>90</v>
      </c>
      <c r="E47" s="12"/>
      <c r="F47" s="11" t="s">
        <v>16</v>
      </c>
      <c r="G47" s="65" t="s">
        <v>91</v>
      </c>
    </row>
    <row r="48" spans="3:7">
      <c r="C48" s="1" t="s">
        <v>92</v>
      </c>
      <c r="E48" s="12"/>
      <c r="F48" s="11" t="s">
        <v>16</v>
      </c>
      <c r="G48" s="13" t="s">
        <v>93</v>
      </c>
    </row>
    <row r="49" spans="3:7">
      <c r="C49" s="1" t="s">
        <v>94</v>
      </c>
      <c r="E49" s="12"/>
      <c r="F49" s="11" t="s">
        <v>16</v>
      </c>
      <c r="G49" s="1" t="s">
        <v>95</v>
      </c>
    </row>
    <row r="50" spans="5:6">
      <c r="E50" s="15"/>
      <c r="F50" s="13"/>
    </row>
    <row r="51" spans="2:6">
      <c r="B51" s="11" t="n">
        <v>4</v>
      </c>
      <c r="C51" s="237" t="s">
        <v>96</v>
      </c>
      <c r="E51" s="15"/>
      <c r="F51" s="15"/>
    </row>
    <row r="52" spans="3:14">
      <c r="C52" s="1" t="s">
        <v>97</v>
      </c>
      <c r="E52" s="12"/>
      <c r="F52" s="11" t="s">
        <v>16</v>
      </c>
      <c r="G52" s="16" t="s">
        <v>98</v>
      </c>
      <c r="N52" s="3" t="s">
        <v>99</v>
      </c>
    </row>
    <row r="53" spans="3:7">
      <c r="C53" s="1" t="s">
        <v>100</v>
      </c>
      <c r="E53" s="12"/>
      <c r="F53" s="11" t="s">
        <v>16</v>
      </c>
      <c r="G53" s="1" t="s">
        <v>101</v>
      </c>
    </row>
    <row r="54" spans="6:6">
      <c r="F54" s="11"/>
    </row>
    <row r="55" spans="2:6">
      <c r="B55" s="11" t="n">
        <v>5</v>
      </c>
      <c r="C55" s="3" t="s">
        <v>102</v>
      </c>
      <c r="E55" s="15"/>
      <c r="F55" s="15"/>
    </row>
    <row r="56" spans="3:8">
      <c r="C56" s="1" t="s">
        <v>103</v>
      </c>
      <c r="E56" s="12"/>
      <c r="F56" s="11" t="s">
        <v>16</v>
      </c>
      <c r="G56" s="1" t="s">
        <v>104</v>
      </c>
      <c r="H56" s="3"/>
    </row>
    <row r="57" spans="3:8">
      <c r="C57" s="1" t="s">
        <v>105</v>
      </c>
      <c r="E57" s="12"/>
      <c r="F57" s="11" t="s">
        <v>16</v>
      </c>
      <c r="G57" s="1" t="s">
        <v>106</v>
      </c>
      <c r="H57" s="1" t="s">
        <v>107</v>
      </c>
    </row>
    <row r="58" spans="3:7">
      <c r="C58" s="1" t="s">
        <v>108</v>
      </c>
      <c r="E58" s="15"/>
      <c r="F58" s="11" t="s">
        <v>16</v>
      </c>
      <c r="G58" s="1" t="s">
        <v>109</v>
      </c>
    </row>
    <row r="59" spans="3:7">
      <c r="C59" s="1" t="s">
        <v>110</v>
      </c>
      <c r="E59" s="12"/>
      <c r="F59" s="11" t="s">
        <v>16</v>
      </c>
      <c r="G59" s="1" t="s">
        <v>111</v>
      </c>
    </row>
    <row r="60" spans="5:6">
      <c r="E60" s="12"/>
      <c r="F60" s="11"/>
    </row>
    <row r="61" spans="5:6">
      <c r="E61" s="12"/>
      <c r="F61" s="11"/>
    </row>
    <row r="62" spans="2:6">
      <c r="B62" s="11" t="n">
        <v>6</v>
      </c>
      <c r="C62" s="3" t="s">
        <v>112</v>
      </c>
      <c r="E62" s="3"/>
      <c r="F62" s="11"/>
    </row>
    <row r="63" spans="2:10">
      <c r="B63" s="11"/>
      <c r="C63" s="1" t="s">
        <v>113</v>
      </c>
      <c r="E63" s="3"/>
      <c r="F63" s="11" t="s">
        <v>16</v>
      </c>
      <c r="G63" s="1" t="s">
        <v>114</v>
      </c>
      <c r="J63" s="1" t="s">
        <v>115</v>
      </c>
    </row>
    <row r="64" spans="2:7">
      <c r="B64" s="11"/>
      <c r="C64" s="1" t="s">
        <v>79</v>
      </c>
      <c r="E64" s="3"/>
      <c r="F64" s="11" t="s">
        <v>16</v>
      </c>
      <c r="G64" s="1" t="s">
        <v>116</v>
      </c>
    </row>
    <row r="66" spans="2:7">
      <c r="B66" s="11" t="n">
        <v>7</v>
      </c>
      <c r="C66" s="3" t="s">
        <v>117</v>
      </c>
      <c r="E66" s="12"/>
      <c r="F66" s="11" t="s">
        <v>16</v>
      </c>
      <c r="G66" s="1" t="s">
        <v>118</v>
      </c>
    </row>
    <row r="67" spans="2:6">
      <c r="B67" s="11"/>
      <c r="C67" s="3"/>
      <c r="E67" s="3"/>
      <c r="F67" s="11"/>
    </row>
    <row r="68" spans="2:7">
      <c r="B68" s="11" t="n">
        <v>8</v>
      </c>
      <c r="C68" s="3" t="s">
        <v>119</v>
      </c>
      <c r="E68" s="12"/>
      <c r="F68" s="11" t="s">
        <v>16</v>
      </c>
      <c r="G68" s="1" t="s">
        <v>118</v>
      </c>
    </row>
    <row r="70" spans="2:6">
      <c r="B70" s="11" t="n">
        <v>9</v>
      </c>
      <c r="C70" s="3" t="s">
        <v>120</v>
      </c>
      <c r="E70" s="15"/>
      <c r="F70" s="15"/>
    </row>
    <row r="71" spans="2:6">
      <c r="B71" s="11"/>
      <c r="C71" s="1" t="s">
        <v>121</v>
      </c>
      <c r="E71" s="15"/>
      <c r="F71" s="15"/>
    </row>
    <row r="72" spans="2:11">
      <c r="B72" s="11"/>
      <c r="C72" s="17" t="s">
        <v>122</v>
      </c>
      <c r="D72" s="17"/>
      <c r="E72" s="17"/>
      <c r="F72" s="17"/>
      <c r="G72" s="17"/>
      <c r="H72" s="17"/>
      <c r="I72" s="17"/>
      <c r="J72" s="17"/>
      <c r="K72" s="17"/>
    </row>
    <row r="74" spans="2:3" ht="15" customHeight="1">
      <c r="B74" s="11" t="n">
        <v>10</v>
      </c>
      <c r="C74" s="3" t="s">
        <v>123</v>
      </c>
    </row>
    <row r="75" spans="2:11" ht="55.50" customHeight="1">
      <c r="B75" s="11"/>
      <c r="C75" s="17" t="s">
        <v>124</v>
      </c>
      <c r="D75" s="17"/>
      <c r="E75" s="17"/>
      <c r="F75" s="17"/>
      <c r="G75" s="17"/>
      <c r="H75" s="17"/>
      <c r="I75" s="17"/>
      <c r="J75" s="17"/>
      <c r="K75" s="17"/>
    </row>
    <row r="76" spans="1:10">
      <c r="A76" s="15"/>
      <c r="B76" s="18"/>
      <c r="C76" s="18"/>
      <c r="D76" s="18"/>
      <c r="E76" s="18"/>
      <c r="F76" s="18"/>
      <c r="G76" s="18"/>
      <c r="H76" s="18"/>
      <c r="I76" s="18"/>
      <c r="J76" s="18"/>
    </row>
    <row r="77" spans="2:9">
      <c r="B77" s="11" t="n">
        <v>11</v>
      </c>
      <c r="C77" s="3" t="s">
        <v>125</v>
      </c>
      <c r="I77" s="3"/>
    </row>
    <row r="78" spans="2:14">
      <c r="B78" s="11"/>
      <c r="C78" s="1" t="s">
        <v>126</v>
      </c>
      <c r="I78" s="3"/>
      <c r="N78" s="1" t="n">
        <v>2371.11999999999989</v>
      </c>
    </row>
    <row r="79" spans="2:14">
      <c r="B79" s="11"/>
      <c r="I79" s="3"/>
      <c r="N79" s="1" t="n">
        <v>882.899999999999977</v>
      </c>
    </row>
    <row r="80" spans="2:9" ht="12.75" customHeight="1">
      <c r="B80" s="11" t="n">
        <v>12</v>
      </c>
      <c r="C80" s="3" t="s">
        <v>127</v>
      </c>
      <c r="I80" s="3"/>
    </row>
    <row r="81" spans="2:9" ht="12.75" customHeight="1">
      <c r="B81" s="53" t="n">
        <v>1</v>
      </c>
      <c r="C81" s="1" t="s">
        <v>128</v>
      </c>
      <c r="I81" s="3"/>
    </row>
    <row r="82" spans="2:9" ht="12.75" customHeight="1">
      <c r="B82" s="53" t="n">
        <v>2</v>
      </c>
      <c r="C82" s="1" t="s">
        <v>129</v>
      </c>
      <c r="I82" s="3"/>
    </row>
    <row r="83" spans="2:9" ht="12.75" customHeight="1">
      <c r="B83" s="53" t="n">
        <v>3</v>
      </c>
      <c r="C83" s="1" t="s">
        <v>130</v>
      </c>
      <c r="I83" s="3"/>
    </row>
    <row r="84" spans="2:9" ht="12.75" customHeight="1">
      <c r="B84" s="53" t="n">
        <v>4</v>
      </c>
      <c r="C84" s="1" t="s">
        <v>131</v>
      </c>
      <c r="I84" s="3"/>
    </row>
    <row r="85" spans="2:9" ht="12.75" customHeight="1">
      <c r="B85" s="53" t="n">
        <v>5</v>
      </c>
      <c r="C85" s="1" t="s">
        <v>132</v>
      </c>
      <c r="I85" s="3"/>
    </row>
    <row r="86" spans="2:11" ht="29.25" customHeight="1">
      <c r="B86" s="156" t="n">
        <v>6</v>
      </c>
      <c r="C86" s="17" t="s">
        <v>133</v>
      </c>
      <c r="D86" s="17"/>
      <c r="E86" s="17"/>
      <c r="F86" s="17"/>
      <c r="G86" s="17"/>
      <c r="H86" s="17"/>
      <c r="I86" s="17"/>
      <c r="J86" s="17"/>
      <c r="K86" s="17"/>
    </row>
    <row r="87" spans="2:9" ht="12.75" customHeight="1">
      <c r="B87" s="53" t="n">
        <v>7</v>
      </c>
      <c r="C87" s="3" t="s">
        <v>134</v>
      </c>
      <c r="I87" s="3"/>
    </row>
    <row r="88" spans="2:9" ht="10.50" customHeight="1">
      <c r="B88" s="53"/>
      <c r="C88" s="3"/>
      <c r="I88" s="3"/>
    </row>
    <row r="89" spans="2:3">
      <c r="B89" s="11" t="n">
        <v>13</v>
      </c>
      <c r="C89" s="3" t="s">
        <v>135</v>
      </c>
    </row>
    <row r="90" spans="2:5">
      <c r="B90" s="3"/>
      <c r="E90" s="6"/>
    </row>
    <row r="91" spans="2:10">
      <c r="B91" s="19" t="s">
        <v>136</v>
      </c>
      <c r="C91" s="20"/>
      <c r="D91" s="20"/>
      <c r="E91" s="20"/>
      <c r="F91" s="21" t="n">
        <v>999</v>
      </c>
      <c r="G91" s="20" t="s">
        <v>137</v>
      </c>
      <c r="H91" s="20"/>
      <c r="I91" s="20"/>
      <c r="J91" s="22" t="n">
        <v>1000</v>
      </c>
    </row>
    <row r="92" spans="2:10">
      <c r="B92" s="2" t="s">
        <v>138</v>
      </c>
      <c r="E92" s="6"/>
      <c r="F92" s="23" t="n">
        <v>1.88999999999999986</v>
      </c>
      <c r="G92" s="1" t="s">
        <v>139</v>
      </c>
      <c r="J92" s="4">
        <f>IF(F92&lt;0.5,0,IF(F92&lt;1,5,IF(F92&lt;2,10,IF(F92&lt;3,15,IF(F92&lt;4,25,IF(F92&lt;5,35,IF(F92&lt;10,40,50)))))))</f>
        <v>10</v>
      </c>
    </row>
    <row r="93" spans="2:10">
      <c r="B93" s="19" t="s">
        <v>140</v>
      </c>
      <c r="C93" s="20"/>
      <c r="D93" s="20"/>
      <c r="F93" s="119" t="n">
        <v>18</v>
      </c>
      <c r="G93" s="20" t="s">
        <v>141</v>
      </c>
      <c r="H93" s="20"/>
      <c r="I93" s="20"/>
      <c r="J93" s="118" t="n">
        <v>18</v>
      </c>
    </row>
    <row r="94" spans="2:7">
      <c r="B94" s="62"/>
      <c r="C94" s="62"/>
      <c r="D94" s="62"/>
      <c r="E94" s="62"/>
      <c r="F94" s="62"/>
      <c r="G94" s="62"/>
    </row>
    <row r="95" spans="2:9">
      <c r="B95" s="6" t="s">
        <v>41</v>
      </c>
      <c r="C95" s="6"/>
      <c r="D95" s="6"/>
      <c r="E95" s="6"/>
      <c r="F95" s="6"/>
      <c r="G95" s="6" t="s">
        <v>142</v>
      </c>
      <c r="H95" s="6" t="s">
        <v>142</v>
      </c>
      <c r="I95" s="6" t="s">
        <v>142</v>
      </c>
    </row>
    <row r="96" spans="2:10">
      <c r="B96" s="238" t="s">
        <v>143</v>
      </c>
      <c r="C96" s="238" t="s">
        <v>144</v>
      </c>
      <c r="D96" s="239"/>
      <c r="E96" s="240"/>
      <c r="F96" s="241" t="s">
        <v>145</v>
      </c>
      <c r="G96" s="241" t="s">
        <v>146</v>
      </c>
      <c r="H96" s="241" t="s">
        <v>147</v>
      </c>
      <c r="I96" s="242" t="s">
        <v>148</v>
      </c>
      <c r="J96" s="8"/>
    </row>
    <row r="97" spans="2:11">
      <c r="B97" s="103" t="n">
        <v>1</v>
      </c>
      <c r="C97" s="1" t="s">
        <v>149</v>
      </c>
      <c r="E97" s="4"/>
      <c r="F97" s="26" t="n">
        <v>284.75</v>
      </c>
      <c r="G97" s="26" t="s">
        <v>150</v>
      </c>
      <c r="H97" s="26"/>
      <c r="I97" s="26"/>
      <c r="J97" s="13"/>
      <c r="K97" s="13"/>
    </row>
    <row r="98" spans="2:11">
      <c r="B98" s="76" t="n">
        <v>2</v>
      </c>
      <c r="C98" s="1" t="s">
        <v>151</v>
      </c>
      <c r="E98" s="4"/>
      <c r="F98" s="26" t="n">
        <v>780.509999999999991</v>
      </c>
      <c r="G98" s="26" t="s">
        <v>150</v>
      </c>
      <c r="H98" s="26"/>
      <c r="I98" s="26"/>
      <c r="J98" s="13"/>
      <c r="K98" s="13"/>
    </row>
    <row r="99" spans="2:11">
      <c r="B99" s="76" t="n">
        <v>3</v>
      </c>
      <c r="C99" s="1" t="s">
        <v>152</v>
      </c>
      <c r="E99" s="4"/>
      <c r="F99" s="26" t="n">
        <v>1989.82999999999993</v>
      </c>
      <c r="G99" s="26"/>
      <c r="H99" s="26" t="n">
        <v>1989.82999999999993</v>
      </c>
      <c r="I99" s="26"/>
      <c r="J99" s="13"/>
      <c r="K99" s="13"/>
    </row>
    <row r="100" spans="2:11">
      <c r="B100" s="76" t="n">
        <v>4</v>
      </c>
      <c r="C100" s="1" t="s">
        <v>152</v>
      </c>
      <c r="E100" s="4"/>
      <c r="F100" s="26" t="n">
        <v>1740.68000000000006</v>
      </c>
      <c r="G100" s="26"/>
      <c r="H100" s="26" t="n">
        <v>1740.68000000000006</v>
      </c>
      <c r="I100" s="26"/>
      <c r="J100" s="13"/>
      <c r="K100" s="13"/>
    </row>
    <row r="101" spans="2:11">
      <c r="B101" s="76" t="n">
        <v>5</v>
      </c>
      <c r="C101" s="1" t="s">
        <v>153</v>
      </c>
      <c r="E101" s="4"/>
      <c r="F101" s="26" t="n">
        <v>1567.79999999999995</v>
      </c>
      <c r="G101" s="26" t="s">
        <v>150</v>
      </c>
      <c r="H101" s="26"/>
      <c r="I101" s="26"/>
      <c r="J101" s="13"/>
      <c r="K101" s="13"/>
    </row>
    <row r="102" spans="2:11">
      <c r="B102" s="76" t="n">
        <v>6</v>
      </c>
      <c r="C102" s="1" t="s">
        <v>154</v>
      </c>
      <c r="E102" s="4"/>
      <c r="F102" s="26" t="n">
        <v>186.439999999999998</v>
      </c>
      <c r="G102" s="26"/>
      <c r="H102" s="26" t="n">
        <v>186.439999999999998</v>
      </c>
      <c r="I102" s="26"/>
      <c r="J102" s="13"/>
      <c r="K102" s="13"/>
    </row>
    <row r="103" spans="2:11">
      <c r="B103" s="76" t="n">
        <v>7</v>
      </c>
      <c r="C103" s="1" t="s">
        <v>154</v>
      </c>
      <c r="E103" s="4"/>
      <c r="F103" s="26" t="n">
        <v>186.439999999999998</v>
      </c>
      <c r="G103" s="26" t="s">
        <v>150</v>
      </c>
      <c r="H103" s="26"/>
      <c r="I103" s="26"/>
      <c r="J103" s="13"/>
      <c r="K103" s="13"/>
    </row>
    <row r="104" spans="2:11">
      <c r="B104" s="76" t="n">
        <v>8</v>
      </c>
      <c r="C104" s="1" t="s">
        <v>154</v>
      </c>
      <c r="E104" s="4"/>
      <c r="F104" s="26" t="n">
        <v>509.319999999999993</v>
      </c>
      <c r="G104" s="26" t="s">
        <v>150</v>
      </c>
      <c r="H104" s="26"/>
      <c r="I104" s="26"/>
      <c r="J104" s="13"/>
      <c r="K104" s="13"/>
    </row>
    <row r="105" spans="2:11">
      <c r="B105" s="76" t="n">
        <v>9</v>
      </c>
      <c r="C105" s="1" t="s">
        <v>154</v>
      </c>
      <c r="E105" s="4"/>
      <c r="F105" s="26" t="n">
        <v>509.319999999999993</v>
      </c>
      <c r="G105" s="26" t="s">
        <v>150</v>
      </c>
      <c r="H105" s="26"/>
      <c r="I105" s="26"/>
      <c r="J105" s="13"/>
      <c r="K105" s="13"/>
    </row>
    <row r="106" spans="2:11">
      <c r="B106" s="76" t="n">
        <v>10</v>
      </c>
      <c r="C106" s="1" t="s">
        <v>155</v>
      </c>
      <c r="E106" s="4"/>
      <c r="F106" s="26" t="n">
        <v>577.120000000000005</v>
      </c>
      <c r="G106" s="26"/>
      <c r="H106" s="26" t="n">
        <v>577.120000000000005</v>
      </c>
      <c r="I106" s="26"/>
      <c r="J106" s="13"/>
      <c r="K106" s="13"/>
    </row>
    <row r="107" spans="2:11">
      <c r="B107" s="76" t="n">
        <v>11</v>
      </c>
      <c r="C107" s="1" t="s">
        <v>156</v>
      </c>
      <c r="E107" s="4"/>
      <c r="F107" s="26" t="n">
        <v>411.019999999999982</v>
      </c>
      <c r="G107" s="26"/>
      <c r="H107" s="26" t="n">
        <v>411.019999999999982</v>
      </c>
      <c r="I107" s="26"/>
      <c r="J107" s="13"/>
      <c r="K107" s="13"/>
    </row>
    <row r="108" spans="2:11">
      <c r="B108" s="76" t="n">
        <v>12</v>
      </c>
      <c r="C108" s="1" t="s">
        <v>157</v>
      </c>
      <c r="E108" s="4"/>
      <c r="F108" s="26" t="n">
        <v>74.5799999999999983</v>
      </c>
      <c r="G108" s="26" t="s">
        <v>150</v>
      </c>
      <c r="H108" s="26"/>
      <c r="I108" s="26"/>
      <c r="J108" s="13"/>
      <c r="K108" s="13"/>
    </row>
    <row r="109" spans="2:11">
      <c r="B109" s="76" t="n">
        <v>13</v>
      </c>
      <c r="C109" s="1" t="s">
        <v>158</v>
      </c>
      <c r="E109" s="4"/>
      <c r="F109" s="26" t="n">
        <v>885.590000000000032</v>
      </c>
      <c r="G109" s="26" t="s">
        <v>150</v>
      </c>
      <c r="H109" s="26"/>
      <c r="I109" s="26"/>
      <c r="J109" s="13"/>
      <c r="K109" s="13"/>
    </row>
    <row r="110" spans="2:11">
      <c r="B110" s="104" t="n">
        <v>14</v>
      </c>
      <c r="C110" s="6" t="s">
        <v>159</v>
      </c>
      <c r="D110" s="47"/>
      <c r="E110" s="89"/>
      <c r="F110" s="27" t="n">
        <v>5.08000000000000007</v>
      </c>
      <c r="G110" s="27" t="s">
        <v>150</v>
      </c>
      <c r="H110" s="31"/>
      <c r="I110" s="210"/>
      <c r="J110" s="212"/>
      <c r="K110" s="13"/>
    </row>
    <row r="111" spans="2:13">
      <c r="B111" s="2" t="s">
        <v>160</v>
      </c>
      <c r="E111" s="4"/>
      <c r="F111" s="26">
        <f>SUM(F97:F110)</f>
        <v>9708.47999999999956</v>
      </c>
      <c r="G111" s="33">
        <f>SUM(G97:G110)</f>
        <v>0</v>
      </c>
      <c r="H111" s="25">
        <f>SUM(H97:H110)</f>
        <v>4905.09000000000015</v>
      </c>
      <c r="I111" s="25">
        <f>SUM(I97:I110)</f>
        <v>0</v>
      </c>
      <c r="J111" s="32"/>
      <c r="M111" s="32"/>
    </row>
    <row r="112" spans="1:13">
      <c r="A112" s="4"/>
      <c r="B112" s="120" t="n">
        <v>18</v>
      </c>
      <c r="C112" s="6" t="s">
        <v>161</v>
      </c>
      <c r="D112" s="6"/>
      <c r="E112" s="7"/>
      <c r="F112" s="31">
        <f>B112*F111/100</f>
        <v>1747.52640000000019</v>
      </c>
      <c r="G112" s="49">
        <f>B112*G111/100</f>
        <v>0</v>
      </c>
      <c r="H112" s="31">
        <f>B112*H111/100</f>
        <v>882.916200000000003</v>
      </c>
      <c r="I112" s="31">
        <f>18*I111/100</f>
        <v>0</v>
      </c>
      <c r="J112" s="32"/>
      <c r="M112" s="32"/>
    </row>
    <row r="113" spans="2:10" ht="12" customHeight="1">
      <c r="B113" s="2" t="s">
        <v>160</v>
      </c>
      <c r="F113" s="33">
        <f>SUM(F111:F112)</f>
        <v>11456.0064000000002</v>
      </c>
      <c r="G113" s="33">
        <f>SUM(G111:G112)</f>
        <v>0</v>
      </c>
      <c r="H113" s="33">
        <f>SUM(H111:H112)</f>
        <v>5788.00619999999981</v>
      </c>
      <c r="I113" s="25">
        <f>SUM(I111:I112)</f>
        <v>0</v>
      </c>
      <c r="J113" s="32"/>
    </row>
    <row r="114" spans="2:9" ht="12" customHeight="1">
      <c r="B114" s="14" t="s">
        <v>162</v>
      </c>
      <c r="F114" s="33"/>
      <c r="G114" s="33"/>
      <c r="H114" s="33"/>
      <c r="I114" s="25"/>
    </row>
    <row r="115" spans="2:10">
      <c r="B115" s="5" t="n">
        <v>0</v>
      </c>
      <c r="C115" s="6" t="s">
        <v>163</v>
      </c>
      <c r="D115" s="6"/>
      <c r="E115" s="7"/>
      <c r="F115" s="30"/>
      <c r="G115" s="30" t="n">
        <v>0</v>
      </c>
      <c r="H115" s="30" t="n">
        <v>0</v>
      </c>
      <c r="I115" s="25" t="n">
        <v>0</v>
      </c>
      <c r="J115" s="32"/>
    </row>
    <row r="116" spans="2:10">
      <c r="B116" s="19" t="s">
        <v>164</v>
      </c>
      <c r="C116" s="20"/>
      <c r="D116" s="20"/>
      <c r="E116" s="22"/>
      <c r="F116" s="34">
        <f>F113</f>
        <v>11456.0064000000002</v>
      </c>
      <c r="G116" s="35">
        <f>G113-G115</f>
        <v>0</v>
      </c>
      <c r="H116" s="34">
        <f>H113-H115</f>
        <v>5788.00619999999981</v>
      </c>
      <c r="I116" s="35">
        <f>I113-I115</f>
        <v>0</v>
      </c>
      <c r="J116" s="32"/>
    </row>
    <row r="117" spans="2:9">
      <c r="B117" s="24" t="s">
        <v>165</v>
      </c>
      <c r="C117" s="6"/>
      <c r="D117" s="20"/>
      <c r="E117" s="36"/>
      <c r="F117" s="37">
        <f>F116</f>
        <v>11456.0064000000002</v>
      </c>
      <c r="G117" s="38">
        <f>G116+H116+I116</f>
        <v>5788.00619999999981</v>
      </c>
      <c r="H117" s="39"/>
      <c r="I117" s="22"/>
    </row>
    <row r="118" spans="2:7">
      <c r="B118" s="3"/>
      <c r="F118" s="64"/>
      <c r="G118" s="64"/>
    </row>
    <row r="119" spans="2:7">
      <c r="B119" s="3" t="s">
        <v>166</v>
      </c>
      <c r="G119" s="52">
        <f>G115+H115+J115+I115</f>
        <v>0</v>
      </c>
    </row>
    <row r="120" spans="9:9">
      <c r="I120" s="3"/>
    </row>
    <row r="121" spans="2:7" ht="12.75" customHeight="1">
      <c r="B121" s="10" t="s">
        <v>167</v>
      </c>
      <c r="G121" s="52"/>
    </row>
    <row r="122" spans="7:7">
      <c r="G122" s="52"/>
    </row>
    <row r="123" spans="2:9" ht="12.75" customHeight="1">
      <c r="B123" s="42" t="s">
        <v>168</v>
      </c>
      <c r="C123" s="20"/>
      <c r="D123" s="20"/>
      <c r="E123" s="20"/>
      <c r="F123" s="20"/>
      <c r="G123" s="70"/>
      <c r="H123" s="20"/>
      <c r="I123" s="43" t="n">
        <v>59999.9400000000023</v>
      </c>
    </row>
    <row r="124" spans="2:9" ht="12.75" customHeight="1">
      <c r="B124" s="71" t="s">
        <v>143</v>
      </c>
      <c r="C124" s="72" t="s">
        <v>169</v>
      </c>
      <c r="D124" s="20"/>
      <c r="E124" s="22"/>
      <c r="F124" s="91" t="s">
        <v>170</v>
      </c>
      <c r="G124" s="73" t="s">
        <v>171</v>
      </c>
      <c r="H124" s="74" t="s">
        <v>172</v>
      </c>
      <c r="I124" s="75" t="s">
        <v>173</v>
      </c>
    </row>
    <row r="125" spans="2:9" ht="12.75" customHeight="1">
      <c r="B125" s="76" t="n">
        <v>1</v>
      </c>
      <c r="C125" s="1" t="s">
        <v>174</v>
      </c>
      <c r="F125" s="79" t="n">
        <v>850</v>
      </c>
      <c r="G125" s="77"/>
      <c r="H125" s="78"/>
      <c r="I125" s="79" t="n">
        <v>5735</v>
      </c>
    </row>
    <row r="126" spans="2:9" ht="12.75" customHeight="1">
      <c r="B126" s="76" t="n">
        <v>2</v>
      </c>
      <c r="C126" s="1" t="s">
        <v>175</v>
      </c>
      <c r="F126" s="213"/>
      <c r="G126" s="77" t="n">
        <v>500</v>
      </c>
      <c r="H126" s="78"/>
      <c r="I126" s="213" t="n">
        <v>5945</v>
      </c>
    </row>
    <row r="127" spans="2:9" ht="12.75" customHeight="1">
      <c r="B127" s="76" t="n">
        <v>3</v>
      </c>
      <c r="C127" s="1" t="s">
        <v>176</v>
      </c>
      <c r="F127" s="90" t="n">
        <v>140</v>
      </c>
      <c r="G127" s="77"/>
      <c r="H127" s="78"/>
      <c r="I127" s="90"/>
    </row>
    <row r="128" spans="2:9" ht="12.75" customHeight="1">
      <c r="B128" s="86" t="s">
        <v>160</v>
      </c>
      <c r="C128" s="62"/>
      <c r="D128" s="62"/>
      <c r="E128" s="62"/>
      <c r="F128" s="25">
        <f>SUM(F125:F127)</f>
        <v>990</v>
      </c>
      <c r="G128" s="66">
        <f>SUM(G125:G127)</f>
        <v>500</v>
      </c>
      <c r="H128" s="68">
        <f>SUM(H125:H127)</f>
        <v>0</v>
      </c>
      <c r="I128" s="26">
        <f>SUM(I125:I127)</f>
        <v>11680</v>
      </c>
    </row>
    <row r="129" spans="2:9" ht="12.75" customHeight="1">
      <c r="B129" s="5"/>
      <c r="C129" s="6"/>
      <c r="D129" s="6"/>
      <c r="E129" s="6"/>
      <c r="F129" s="31"/>
      <c r="G129" s="28"/>
      <c r="H129" s="31"/>
      <c r="I129" s="27" t="n">
        <v>0</v>
      </c>
    </row>
    <row r="130" spans="1:9" ht="12.75" customHeight="1">
      <c r="A130" s="4"/>
      <c r="B130" s="42" t="s">
        <v>160</v>
      </c>
      <c r="C130" s="20"/>
      <c r="D130" s="20"/>
      <c r="E130" s="20"/>
      <c r="F130" s="35">
        <f>F128</f>
        <v>990</v>
      </c>
      <c r="G130" s="61">
        <f>G128</f>
        <v>500</v>
      </c>
      <c r="H130" s="68">
        <f>H128</f>
        <v>0</v>
      </c>
      <c r="I130" s="29">
        <f>I128-I129</f>
        <v>11680</v>
      </c>
    </row>
    <row r="131" spans="2:9" ht="12.75" customHeight="1">
      <c r="B131" s="24"/>
      <c r="C131" s="6"/>
      <c r="D131" s="47" t="s">
        <v>177</v>
      </c>
      <c r="E131" s="6"/>
      <c r="F131" s="28"/>
      <c r="G131" s="28"/>
      <c r="H131" s="81">
        <f>F130+G130+H130+I130</f>
        <v>13170</v>
      </c>
      <c r="I131" s="82"/>
    </row>
    <row r="132" spans="2:9">
      <c r="B132" s="83"/>
      <c r="C132" s="62"/>
      <c r="D132" s="62"/>
      <c r="E132" s="62"/>
      <c r="F132" s="66"/>
      <c r="G132" s="66"/>
      <c r="H132" s="32"/>
      <c r="I132" s="32"/>
    </row>
    <row r="133" spans="2:9" ht="12.75" customHeight="1">
      <c r="B133" s="42" t="s">
        <v>178</v>
      </c>
      <c r="C133" s="20"/>
      <c r="D133" s="20"/>
      <c r="E133" s="20"/>
      <c r="F133" s="80"/>
      <c r="G133" s="80"/>
      <c r="H133" s="84" t="s">
        <v>145</v>
      </c>
      <c r="I133" s="84" t="s">
        <v>179</v>
      </c>
    </row>
    <row r="134" spans="2:9" ht="12.75" customHeight="1">
      <c r="B134" s="14"/>
      <c r="F134" s="32"/>
      <c r="G134" s="32"/>
      <c r="H134" s="25">
        <f>I123</f>
        <v>59999.9400000000023</v>
      </c>
      <c r="I134" s="25">
        <f>H131</f>
        <v>13170</v>
      </c>
    </row>
    <row r="135" spans="2:9" ht="12.75" customHeight="1">
      <c r="B135" s="121">
        <f>J93</f>
        <v>18</v>
      </c>
      <c r="C135" s="6" t="s">
        <v>161</v>
      </c>
      <c r="F135" s="32"/>
      <c r="G135" s="32"/>
      <c r="H135" s="25">
        <f>B135*H134/100</f>
        <v>10799.9892</v>
      </c>
      <c r="I135" s="25">
        <f>B135*I134/100</f>
        <v>2370.59999999999991</v>
      </c>
    </row>
    <row r="136" spans="2:9" ht="12.75" customHeight="1">
      <c r="B136" s="42" t="s">
        <v>180</v>
      </c>
      <c r="C136" s="20"/>
      <c r="D136" s="20"/>
      <c r="E136" s="20"/>
      <c r="F136" s="85"/>
      <c r="G136" s="85"/>
      <c r="H136" s="40">
        <f>H134+H135</f>
        <v>70799.9291999999987</v>
      </c>
      <c r="I136" s="38">
        <f>I134+I135</f>
        <v>15540.6000000000004</v>
      </c>
    </row>
    <row r="138" spans="2:7" ht="12.75" customHeight="1">
      <c r="B138" s="3" t="s">
        <v>181</v>
      </c>
      <c r="G138" s="64">
        <f>I136</f>
        <v>15540.6000000000004</v>
      </c>
    </row>
    <row r="139" spans="2:7">
      <c r="B139" s="6"/>
      <c r="C139" s="6"/>
      <c r="D139" s="6"/>
      <c r="E139" s="6"/>
      <c r="F139" s="6"/>
      <c r="G139" s="6"/>
    </row>
    <row r="140" spans="2:7">
      <c r="B140" s="24" t="s">
        <v>182</v>
      </c>
      <c r="C140" s="6"/>
      <c r="D140" s="6"/>
      <c r="E140" s="7"/>
      <c r="F140" s="48" t="s">
        <v>145</v>
      </c>
      <c r="G140" s="48" t="s">
        <v>179</v>
      </c>
    </row>
    <row r="141" spans="2:7">
      <c r="B141" s="67" t="s">
        <v>183</v>
      </c>
      <c r="C141" s="62"/>
      <c r="D141" s="62"/>
      <c r="E141" s="62"/>
      <c r="F141" s="68">
        <f>F117</f>
        <v>11456.0064000000002</v>
      </c>
      <c r="G141" s="29">
        <f>G117</f>
        <v>5788.00619999999981</v>
      </c>
    </row>
    <row r="142" spans="2:7">
      <c r="B142" s="5" t="s">
        <v>184</v>
      </c>
      <c r="C142" s="6"/>
      <c r="D142" s="6"/>
      <c r="E142" s="6"/>
      <c r="F142" s="31">
        <f>H136</f>
        <v>70799.9291999999987</v>
      </c>
      <c r="G142" s="27">
        <f>G138</f>
        <v>15540.6000000000004</v>
      </c>
    </row>
    <row r="143" spans="2:7">
      <c r="B143" s="2" t="s">
        <v>160</v>
      </c>
      <c r="E143" s="4"/>
      <c r="F143" s="26">
        <f>F141+F142</f>
        <v>82255.9355999999971</v>
      </c>
      <c r="G143" s="26">
        <f>G141+G142</f>
        <v>21328.606200000002</v>
      </c>
    </row>
    <row r="144" spans="2:7">
      <c r="B144" s="5" t="s">
        <v>185</v>
      </c>
      <c r="C144" s="6"/>
      <c r="D144" s="6"/>
      <c r="E144" s="7"/>
      <c r="F144" s="4"/>
      <c r="G144" s="26">
        <f>J91</f>
        <v>1000</v>
      </c>
    </row>
    <row r="145" spans="2:7" ht="12" customHeight="1">
      <c r="B145" s="24" t="s">
        <v>186</v>
      </c>
      <c r="C145" s="6"/>
      <c r="D145" s="20"/>
      <c r="E145" s="36"/>
      <c r="F145" s="40">
        <f>F143</f>
        <v>82255.9355999999971</v>
      </c>
      <c r="G145" s="41">
        <f>G143-G144</f>
        <v>20328.6061999999984</v>
      </c>
    </row>
    <row r="146" spans="1:1" ht="9.75" customHeight="1"/>
    <row r="147" spans="2:7" ht="12.75" customHeight="1">
      <c r="B147" s="1" t="s">
        <v>187</v>
      </c>
      <c r="G147" s="32" t="n">
        <v>100</v>
      </c>
    </row>
    <row r="148" spans="2:11">
      <c r="B148" s="42" t="s">
        <v>188</v>
      </c>
      <c r="C148" s="20"/>
      <c r="D148" s="20"/>
      <c r="E148" s="20"/>
      <c r="F148" s="20"/>
      <c r="G148" s="43">
        <f>G145-G147</f>
        <v>20228.6061999999984</v>
      </c>
      <c r="I148" s="32"/>
      <c r="K148" s="32"/>
    </row>
    <row r="149" spans="1:10">
      <c r="A149" s="18"/>
      <c r="B149" s="18"/>
      <c r="C149" s="18"/>
      <c r="D149" s="18"/>
      <c r="E149" s="18"/>
      <c r="F149" s="18"/>
      <c r="G149" s="18"/>
      <c r="H149" s="18"/>
      <c r="I149" s="18"/>
      <c r="J149" s="18"/>
    </row>
    <row r="150" spans="1:11" ht="53.25" customHeight="1">
      <c r="A150" s="18"/>
      <c r="B150" s="17" t="s">
        <v>189</v>
      </c>
      <c r="C150" s="17"/>
      <c r="D150" s="17"/>
      <c r="E150" s="17"/>
      <c r="F150" s="17"/>
      <c r="G150" s="17"/>
      <c r="H150" s="17"/>
      <c r="I150" s="17"/>
      <c r="J150" s="17"/>
      <c r="K150" s="17"/>
    </row>
    <row r="151" spans="1:12" ht="9.75" customHeight="1">
      <c r="A151" s="18"/>
      <c r="B151" s="17"/>
      <c r="C151" s="17"/>
      <c r="D151" s="17"/>
      <c r="E151" s="17"/>
      <c r="F151" s="17"/>
      <c r="G151" s="17"/>
      <c r="H151" s="17"/>
      <c r="I151" s="17"/>
      <c r="J151" s="17"/>
      <c r="K151" s="17"/>
      <c r="L151" s="17"/>
    </row>
    <row r="152" spans="2:2">
      <c r="B152" s="55" t="s">
        <v>190</v>
      </c>
    </row>
    <row r="153" spans="2:2">
      <c r="B153" s="3"/>
    </row>
    <row r="154" spans="2:6">
      <c r="B154" s="13" t="n">
        <v>1</v>
      </c>
      <c r="C154" s="1" t="s">
        <v>191</v>
      </c>
      <c r="E154" s="3" t="s">
        <v>16</v>
      </c>
      <c r="F154" s="13" t="str">
        <f>G29</f>
        <v>033264</v>
      </c>
    </row>
    <row r="155" spans="2:6">
      <c r="B155" s="13"/>
      <c r="E155" s="3"/>
      <c r="F155" s="13"/>
    </row>
    <row r="156" spans="2:6">
      <c r="B156" s="13" t="n">
        <v>2</v>
      </c>
      <c r="C156" s="1" t="s">
        <v>192</v>
      </c>
      <c r="E156" s="3" t="s">
        <v>16</v>
      </c>
      <c r="F156" s="13">
        <f>G30</f>
        <v>172413</v>
      </c>
    </row>
    <row r="157" spans="2:10">
      <c r="B157" s="3"/>
      <c r="J157" s="3" t="s">
        <v>193</v>
      </c>
    </row>
    <row r="158" spans="3:7" ht="12.75" customHeight="1">
      <c r="C158" s="67" t="s">
        <v>194</v>
      </c>
      <c r="D158" s="62"/>
      <c r="E158" s="62"/>
      <c r="F158" s="62"/>
      <c r="G158" s="87"/>
    </row>
    <row r="159" spans="3:7" ht="12.75" customHeight="1">
      <c r="C159" s="2"/>
      <c r="G159" s="4"/>
    </row>
    <row r="160" spans="2:7">
      <c r="B160" s="3"/>
      <c r="C160" s="88" t="s">
        <v>195</v>
      </c>
      <c r="D160" s="6"/>
      <c r="E160" s="6"/>
      <c r="F160" s="6"/>
      <c r="G160" s="7"/>
    </row>
    <row r="161" spans="2:2">
      <c r="B161" s="3"/>
    </row>
    <row r="162" spans="2:2">
      <c r="B162" s="3"/>
    </row>
    <row r="164" spans="1:1" ht="29.25" customHeight="1"/>
    <row r="165" spans="2:2">
      <c r="B165" s="3"/>
    </row>
    <row r="166" spans="2:2">
      <c r="B166" s="3"/>
    </row>
    <row r="167" spans="2:2">
      <c r="B167" s="3"/>
    </row>
    <row r="168" spans="2:2">
      <c r="B168" s="3"/>
    </row>
    <row r="169" spans="2:2">
      <c r="B169" s="3"/>
    </row>
    <row r="170" spans="2:2">
      <c r="B170" s="3"/>
    </row>
    <row r="171" spans="2:2">
      <c r="B171" s="3"/>
    </row>
    <row r="172" spans="2:2">
      <c r="B172" s="3"/>
    </row>
    <row r="173" spans="2:2">
      <c r="B173" s="3"/>
    </row>
    <row r="174" spans="2:2">
      <c r="B174" s="3"/>
    </row>
    <row r="175" spans="2:2">
      <c r="B175" s="3"/>
    </row>
    <row r="176" spans="2:2">
      <c r="B176" s="3"/>
    </row>
    <row r="177" spans="2:2">
      <c r="B177" s="3"/>
    </row>
    <row r="178" spans="2:2">
      <c r="B178" s="3"/>
    </row>
    <row r="179" spans="2:2">
      <c r="B179" s="3"/>
    </row>
    <row r="180" spans="2:2">
      <c r="B180" s="3"/>
    </row>
    <row r="181" spans="2:2">
      <c r="B181" s="3"/>
    </row>
    <row r="182" spans="2:2">
      <c r="B182" s="3"/>
    </row>
    <row r="183" spans="2:2">
      <c r="B183" s="3"/>
    </row>
    <row r="184" spans="2:2">
      <c r="B184" s="3"/>
    </row>
    <row r="185" spans="2:2">
      <c r="B185" s="3"/>
    </row>
    <row r="186" spans="2:2">
      <c r="B186" s="3"/>
    </row>
    <row r="187" spans="2:2">
      <c r="B187" s="3"/>
    </row>
    <row r="188" spans="2:2">
      <c r="B188" s="3"/>
    </row>
    <row r="189" spans="2:2">
      <c r="B189" s="3"/>
    </row>
    <row r="190" spans="2:2">
      <c r="B190" s="3"/>
    </row>
    <row r="191" spans="2:2">
      <c r="B191" s="3"/>
    </row>
    <row r="192" spans="2:2">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14:14">
      <c r="N206" s="13"/>
    </row>
    <row r="207" spans="14:14">
      <c r="N207" s="13"/>
    </row>
    <row r="208" spans="14:14">
      <c r="N208" s="13"/>
    </row>
    <row r="209" spans="14:14">
      <c r="N209" s="13"/>
    </row>
    <row r="210" spans="14:14">
      <c r="N210" s="13"/>
    </row>
    <row r="211" spans="14:14">
      <c r="N211" s="13"/>
    </row>
    <row r="212" spans="14:14">
      <c r="N212" s="13"/>
    </row>
    <row r="213" spans="3:14">
      <c r="C213" s="1" t="s">
        <v>196</v>
      </c>
      <c r="E213" s="44" t="n">
        <v>45373</v>
      </c>
      <c r="F213" s="44"/>
      <c r="N213" s="13"/>
    </row>
    <row r="214" spans="3:6">
      <c r="C214" s="1" t="s">
        <v>97</v>
      </c>
      <c r="E214" s="44" t="n">
        <v>46066</v>
      </c>
      <c r="F214" s="44"/>
    </row>
    <row r="215" spans="5:6">
      <c r="E215" s="45"/>
      <c r="F215" s="45"/>
    </row>
    <row r="216" spans="5:6">
      <c r="E216" s="23">
        <f>DAYS360(E213,E214,0)/360</f>
        <v>1.89166666666666661</v>
      </c>
      <c r="F216" s="23"/>
    </row>
    <row r="222" spans="9:9">
      <c r="I222" s="46"/>
    </row>
  </sheetData>
  <mergeCells count="11">
    <mergeCell ref="B11:K11"/>
    <mergeCell ref="G28:H28"/>
    <mergeCell ref="I28:J28"/>
    <mergeCell ref="G29:H29"/>
    <mergeCell ref="I29:J29"/>
    <mergeCell ref="G30:H30"/>
    <mergeCell ref="I30:J30"/>
    <mergeCell ref="C72:K72"/>
    <mergeCell ref="C75:K75"/>
    <mergeCell ref="C86:K86"/>
    <mergeCell ref="B150:K150"/>
  </mergeCells>
  <conditionalFormatting sqref="E216:F216">
    <cfRule type="expression" dxfId="0" priority="1" stopIfTrue="1">
      <formula>DAYS360(E213,E214,0)/360</formula>
    </cfRule>
  </conditionalFormatting>
  <printOptions horizontalCentered="1">
    <extLst>
      <ext uri="smNativeData">
        <pm:pageFlags xmlns:pm="smNativeData" id="19799" printRowHead="0" printColHead="0" printHeadLine="0" printFootLine="0" autoHeightHeader="0" autoHeightFooter="0" fitToPageBoth="0"/>
      </ext>
    </extLst>
  </printOptions>
  <pageMargins left="0.250000" right="0.250000" top="0.500000" bottom="0.500000" header="0.000000" footer="0.0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L52"/>
  <sheetViews>
    <sheetView view="normal" topLeftCell="A25" workbookViewId="0">
      <selection activeCell="F34" sqref="F34"/>
    </sheetView>
  </sheetViews>
  <sheetFormatPr defaultRowHeight="12.35"/>
  <sheetData>
    <row r="1" spans="1:12">
      <c r="A1" s="94"/>
      <c r="B1" s="95"/>
      <c r="C1" s="95"/>
      <c r="D1" s="95"/>
      <c r="E1" s="95"/>
      <c r="F1" s="95"/>
      <c r="G1" s="95"/>
      <c r="H1" s="95"/>
      <c r="I1" s="95"/>
      <c r="J1" s="95"/>
      <c r="K1" s="95"/>
      <c r="L1" s="96"/>
    </row>
    <row r="2" spans="1:12">
      <c r="A2" s="97"/>
      <c r="L2" s="98"/>
    </row>
    <row r="3" spans="1:12">
      <c r="A3" s="97"/>
      <c r="B3" s="1"/>
      <c r="C3" s="1"/>
      <c r="D3" s="1"/>
      <c r="E3" s="1"/>
      <c r="F3" s="1"/>
      <c r="G3" s="69" t="s">
        <v>197</v>
      </c>
      <c r="H3" s="1"/>
      <c r="I3" s="1"/>
      <c r="L3" s="98"/>
    </row>
    <row r="4" spans="1:12">
      <c r="A4" s="97"/>
      <c r="B4" s="1"/>
      <c r="C4" s="1"/>
      <c r="D4" s="1"/>
      <c r="E4" s="1"/>
      <c r="F4" s="1"/>
      <c r="G4" s="1"/>
      <c r="H4" s="1"/>
      <c r="I4" s="1"/>
      <c r="L4" s="98"/>
    </row>
    <row r="5" spans="1:12">
      <c r="A5" s="97"/>
      <c r="B5" s="1"/>
      <c r="C5" s="1"/>
      <c r="D5" s="1"/>
      <c r="E5" s="1"/>
      <c r="F5" s="1"/>
      <c r="G5" s="1"/>
      <c r="H5" s="1"/>
      <c r="I5" s="1"/>
      <c r="L5" s="98"/>
    </row>
    <row r="6" spans="1:12">
      <c r="A6" s="97"/>
      <c r="B6" s="1"/>
      <c r="C6" s="1"/>
      <c r="D6" s="1"/>
      <c r="E6" s="1"/>
      <c r="F6" s="1"/>
      <c r="G6" s="1"/>
      <c r="H6" s="1"/>
      <c r="I6" s="1"/>
      <c r="L6" s="98"/>
    </row>
    <row r="7" spans="1:12">
      <c r="A7" s="97"/>
      <c r="B7" s="56" t="s">
        <v>198</v>
      </c>
      <c r="C7" s="58"/>
      <c r="D7" s="57"/>
      <c r="E7" s="1"/>
      <c r="F7" s="57" t="str">
        <f>Sheet1!G13</f>
        <v>The Oriental Insurance Co. Ltd.</v>
      </c>
      <c r="G7" s="57"/>
      <c r="H7" s="1"/>
      <c r="I7" s="1"/>
      <c r="L7" s="98"/>
    </row>
    <row r="8" spans="1:12">
      <c r="A8" s="97"/>
      <c r="B8" s="56" t="s">
        <v>19</v>
      </c>
      <c r="C8" s="58"/>
      <c r="D8" s="57"/>
      <c r="E8" s="1"/>
      <c r="F8" s="57" t="str">
        <f>Sheet1!G14</f>
        <v>BO: SCO-52, Sector-42C, Chandigarh</v>
      </c>
      <c r="G8" s="57"/>
      <c r="H8" s="1"/>
      <c r="I8" s="1"/>
      <c r="L8" s="98"/>
    </row>
    <row r="9" spans="1:12">
      <c r="A9" s="97"/>
      <c r="B9" s="57"/>
      <c r="C9" s="58"/>
      <c r="D9" s="57"/>
      <c r="E9" s="1"/>
      <c r="F9" t="str">
        <f>Sheet1!G15</f>
        <v>Case allotted by The Oriental Ins. Co. Ltd., RO: SVC, Sector-17, Chd.</v>
      </c>
      <c r="G9" s="57"/>
      <c r="H9" s="1"/>
      <c r="I9" s="1"/>
      <c r="L9" s="98"/>
    </row>
    <row r="10" spans="1:12">
      <c r="A10" s="97"/>
      <c r="B10" s="56"/>
      <c r="C10" s="58"/>
      <c r="D10" s="57"/>
      <c r="E10" s="1"/>
      <c r="F10" s="57"/>
      <c r="G10" s="57"/>
      <c r="H10" s="1"/>
      <c r="I10" s="1"/>
      <c r="L10" s="98"/>
    </row>
    <row r="11" spans="1:12">
      <c r="A11" s="97"/>
      <c r="B11" s="56"/>
      <c r="C11" s="58"/>
      <c r="D11" s="57"/>
      <c r="E11" s="1"/>
      <c r="F11" s="57"/>
      <c r="G11" s="57"/>
      <c r="H11" s="1"/>
      <c r="I11" s="1"/>
      <c r="L11" s="98"/>
    </row>
    <row r="12" spans="1:12">
      <c r="A12" s="97"/>
      <c r="B12" s="56" t="s">
        <v>29</v>
      </c>
      <c r="C12" s="58"/>
      <c r="D12" s="57"/>
      <c r="E12" s="1"/>
      <c r="F12" s="57" t="str">
        <f>Sheet1!G18</f>
        <v>Mr JAGDEEP KUMAR</v>
      </c>
      <c r="G12" s="57"/>
      <c r="H12" s="1"/>
      <c r="I12" s="1"/>
      <c r="L12" s="98"/>
    </row>
    <row r="13" spans="1:12">
      <c r="A13" s="97"/>
      <c r="B13" s="56"/>
      <c r="C13" s="58"/>
      <c r="D13" s="57"/>
      <c r="E13" s="1"/>
      <c r="F13" s="57"/>
      <c r="G13" s="57"/>
      <c r="H13" s="1"/>
      <c r="I13" s="1"/>
      <c r="L13" s="98"/>
    </row>
    <row r="14" spans="1:12">
      <c r="A14" s="97"/>
      <c r="B14" s="56" t="s">
        <v>199</v>
      </c>
      <c r="C14" s="58"/>
      <c r="D14" s="57"/>
      <c r="E14" s="1"/>
      <c r="F14" s="56" t="str">
        <f>Sheet1!G25</f>
        <v>HR 20AY 7179</v>
      </c>
      <c r="G14" s="57"/>
      <c r="H14" s="1"/>
      <c r="I14" s="1"/>
      <c r="L14" s="98"/>
    </row>
    <row r="15" spans="1:12">
      <c r="A15" s="97"/>
      <c r="B15" s="56"/>
      <c r="C15" s="57"/>
      <c r="D15" s="57"/>
      <c r="E15" s="1"/>
      <c r="F15" s="57"/>
      <c r="G15" s="57"/>
      <c r="H15" s="1"/>
      <c r="I15" s="1"/>
      <c r="L15" s="98"/>
    </row>
    <row r="16" spans="1:12">
      <c r="A16" s="97"/>
      <c r="B16" s="56" t="s">
        <v>200</v>
      </c>
      <c r="C16" s="57"/>
      <c r="D16" s="57"/>
      <c r="E16" s="1"/>
      <c r="F16" s="59" t="str">
        <f>Sheet1!G16</f>
        <v>231203/31/2025/7146</v>
      </c>
      <c r="G16" s="57"/>
      <c r="H16" s="1"/>
      <c r="I16" s="1"/>
      <c r="L16" s="98"/>
    </row>
    <row r="17" spans="1:12">
      <c r="A17" s="97"/>
      <c r="B17" s="56"/>
      <c r="C17" s="57"/>
      <c r="D17" s="57"/>
      <c r="E17" s="1"/>
      <c r="F17" s="57"/>
      <c r="G17" s="57"/>
      <c r="H17" s="1"/>
      <c r="I17" s="1"/>
      <c r="L17" s="98"/>
    </row>
    <row r="18" spans="1:12">
      <c r="A18" s="97"/>
      <c r="B18" s="56" t="s">
        <v>201</v>
      </c>
      <c r="C18" s="58"/>
      <c r="D18" s="57"/>
      <c r="E18" s="1"/>
      <c r="F18" s="57" t="str">
        <f>Sheet1!K16</f>
        <v>22.03.2025 to 21.03.2026</v>
      </c>
      <c r="G18" s="57"/>
      <c r="H18" s="1"/>
      <c r="I18" s="1"/>
      <c r="L18" s="98"/>
    </row>
    <row r="19" spans="1:12">
      <c r="A19" s="97"/>
      <c r="B19" s="57"/>
      <c r="C19" s="58"/>
      <c r="D19" s="57"/>
      <c r="E19" s="1"/>
      <c r="F19" s="57"/>
      <c r="G19" s="57"/>
      <c r="H19" s="1"/>
      <c r="I19" s="1"/>
      <c r="L19" s="98"/>
    </row>
    <row r="20" spans="1:12">
      <c r="A20" s="97"/>
      <c r="B20" s="56" t="s">
        <v>202</v>
      </c>
      <c r="C20" s="58"/>
      <c r="D20" s="57"/>
      <c r="E20" s="1"/>
      <c r="F20" s="60" t="str">
        <f>Sheet1!G52</f>
        <v>13.02.2026 about 9:45 AM</v>
      </c>
      <c r="G20" s="57"/>
      <c r="H20" s="1"/>
      <c r="I20" s="1"/>
      <c r="L20" s="98"/>
    </row>
    <row r="21" spans="1:12">
      <c r="A21" s="97"/>
      <c r="B21" s="57"/>
      <c r="C21" s="57"/>
      <c r="D21" s="57"/>
      <c r="E21" s="57"/>
      <c r="F21" s="57"/>
      <c r="G21" s="57"/>
      <c r="H21" s="1"/>
      <c r="I21" s="1"/>
      <c r="L21" s="98"/>
    </row>
    <row r="22" spans="1:12">
      <c r="A22" s="97"/>
      <c r="B22" s="1"/>
      <c r="C22" s="1"/>
      <c r="D22" s="1"/>
      <c r="E22" s="1"/>
      <c r="F22" s="1"/>
      <c r="G22" s="1"/>
      <c r="H22" s="1"/>
      <c r="I22" s="1"/>
      <c r="L22" s="98"/>
    </row>
    <row r="23" spans="1:12">
      <c r="A23" s="97"/>
      <c r="B23" s="1"/>
      <c r="C23" s="1"/>
      <c r="D23" s="1"/>
      <c r="E23" s="1"/>
      <c r="F23" s="1"/>
      <c r="G23" s="1"/>
      <c r="H23" s="1"/>
      <c r="I23" s="1"/>
      <c r="L23" s="98"/>
    </row>
    <row r="24" spans="1:12">
      <c r="A24" s="97"/>
      <c r="B24" s="1"/>
      <c r="C24" s="1"/>
      <c r="D24" s="1"/>
      <c r="E24" s="1"/>
      <c r="F24" s="1"/>
      <c r="G24" s="1"/>
      <c r="H24" s="1"/>
      <c r="I24" s="1"/>
      <c r="L24" s="98"/>
    </row>
    <row r="25" spans="1:12">
      <c r="A25" s="97"/>
      <c r="B25" s="1"/>
      <c r="C25" s="1"/>
      <c r="D25" s="1"/>
      <c r="E25" s="1"/>
      <c r="F25" s="1"/>
      <c r="G25" s="1"/>
      <c r="H25" s="1"/>
      <c r="I25" s="1"/>
      <c r="L25" s="98"/>
    </row>
    <row r="26" spans="1:12">
      <c r="A26" s="97"/>
      <c r="B26" s="1"/>
      <c r="C26" s="1"/>
      <c r="D26" s="1"/>
      <c r="E26" s="1"/>
      <c r="F26" s="1"/>
      <c r="G26" s="1"/>
      <c r="H26" s="1"/>
      <c r="I26" s="1"/>
      <c r="L26" s="98"/>
    </row>
    <row r="27" spans="1:12">
      <c r="A27" s="97"/>
      <c r="B27" s="1"/>
      <c r="C27" s="1"/>
      <c r="D27" s="1"/>
      <c r="E27" s="1"/>
      <c r="F27" s="1"/>
      <c r="G27" s="1"/>
      <c r="H27" s="1"/>
      <c r="I27" s="1"/>
      <c r="L27" s="98"/>
    </row>
    <row r="28" spans="1:12">
      <c r="A28" s="97"/>
      <c r="B28" s="131" t="s">
        <v>203</v>
      </c>
      <c r="C28" s="132"/>
      <c r="D28" s="132"/>
      <c r="E28" s="132"/>
      <c r="F28" s="132"/>
      <c r="G28" s="132"/>
      <c r="H28" s="132"/>
      <c r="I28" s="132"/>
      <c r="J28" s="133"/>
      <c r="K28" s="133"/>
      <c r="L28" s="98"/>
    </row>
    <row r="29" spans="1:12">
      <c r="A29" s="97"/>
      <c r="B29" s="1"/>
      <c r="C29" s="1"/>
      <c r="D29" s="1"/>
      <c r="E29" s="1"/>
      <c r="F29" s="1"/>
      <c r="G29" s="1"/>
      <c r="H29" s="1"/>
      <c r="I29" s="1"/>
      <c r="L29" s="98"/>
    </row>
    <row r="30" spans="1:12">
      <c r="A30" s="97"/>
      <c r="B30" s="1"/>
      <c r="C30" s="1"/>
      <c r="D30" s="1"/>
      <c r="E30" s="1"/>
      <c r="F30" s="1"/>
      <c r="G30" s="1"/>
      <c r="H30" s="1"/>
      <c r="I30" s="1"/>
      <c r="L30" s="98"/>
    </row>
    <row r="31" spans="1:12">
      <c r="A31" s="97"/>
      <c r="B31" s="1"/>
      <c r="C31" s="1"/>
      <c r="D31" s="1"/>
      <c r="E31" s="1"/>
      <c r="F31" s="1"/>
      <c r="G31" s="1"/>
      <c r="H31" s="1"/>
      <c r="I31" s="1"/>
      <c r="L31" s="98"/>
    </row>
    <row r="32" spans="1:12">
      <c r="A32" s="97"/>
      <c r="B32" s="1"/>
      <c r="C32" s="1"/>
      <c r="D32" s="1"/>
      <c r="E32" s="1"/>
      <c r="F32" s="1"/>
      <c r="G32" s="1"/>
      <c r="H32" s="1"/>
      <c r="I32" s="1"/>
      <c r="L32" s="98"/>
    </row>
    <row r="33" spans="1:12">
      <c r="A33" s="97"/>
      <c r="B33" s="1"/>
      <c r="C33" s="1"/>
      <c r="D33" s="1"/>
      <c r="E33" s="1"/>
      <c r="F33" s="1"/>
      <c r="G33" s="1"/>
      <c r="H33" s="1"/>
      <c r="I33" s="1"/>
      <c r="L33" s="98"/>
    </row>
    <row r="34" spans="1:12">
      <c r="A34" s="97"/>
      <c r="B34" s="1" t="s">
        <v>204</v>
      </c>
      <c r="C34" s="1"/>
      <c r="D34" s="1"/>
      <c r="E34" s="1"/>
      <c r="F34" s="211" t="s">
        <v>205</v>
      </c>
      <c r="G34" s="1"/>
      <c r="H34" s="1"/>
      <c r="I34" s="1"/>
      <c r="L34" s="98"/>
    </row>
    <row r="35" spans="1:12">
      <c r="A35" s="97"/>
      <c r="B35" s="1" t="s">
        <v>206</v>
      </c>
      <c r="C35" s="1"/>
      <c r="D35" s="1"/>
      <c r="E35" s="1"/>
      <c r="F35" s="1"/>
      <c r="G35" s="1"/>
      <c r="H35" s="1"/>
      <c r="I35" s="1"/>
      <c r="L35" s="98"/>
    </row>
    <row r="36" spans="1:12">
      <c r="A36" s="97"/>
      <c r="B36" s="1"/>
      <c r="C36" s="1"/>
      <c r="D36" s="1"/>
      <c r="E36" s="1"/>
      <c r="F36" s="1"/>
      <c r="G36" s="1"/>
      <c r="H36" s="1"/>
      <c r="I36" s="1"/>
      <c r="L36" s="98"/>
    </row>
    <row r="37" spans="1:12">
      <c r="A37" s="97"/>
      <c r="B37" s="1"/>
      <c r="C37" s="1"/>
      <c r="D37" s="1"/>
      <c r="E37" s="1"/>
      <c r="F37" s="1"/>
      <c r="G37" s="1"/>
      <c r="H37" s="1"/>
      <c r="I37" s="1"/>
      <c r="L37" s="98"/>
    </row>
    <row r="38" spans="1:12">
      <c r="A38" s="97"/>
      <c r="B38" s="1"/>
      <c r="C38" s="1"/>
      <c r="D38" s="1"/>
      <c r="E38" s="1"/>
      <c r="F38" s="1"/>
      <c r="G38" s="1"/>
      <c r="H38" s="1"/>
      <c r="I38" s="1"/>
      <c r="L38" s="98"/>
    </row>
    <row r="39" spans="1:12">
      <c r="A39" s="97"/>
      <c r="B39" s="1"/>
      <c r="C39" s="1"/>
      <c r="D39" s="1"/>
      <c r="E39" s="1"/>
      <c r="F39" s="1"/>
      <c r="G39" s="1"/>
      <c r="H39" s="1"/>
      <c r="I39" s="1"/>
      <c r="L39" s="98"/>
    </row>
    <row r="40" spans="1:12">
      <c r="A40" s="97"/>
      <c r="B40" s="1"/>
      <c r="C40" s="1"/>
      <c r="D40" s="1"/>
      <c r="E40" s="1"/>
      <c r="F40" s="1"/>
      <c r="G40" s="1"/>
      <c r="H40" s="1"/>
      <c r="I40" s="1"/>
      <c r="L40" s="98"/>
    </row>
    <row r="41" spans="1:12">
      <c r="A41" s="97"/>
      <c r="B41" s="1"/>
      <c r="C41" s="1"/>
      <c r="D41" s="1"/>
      <c r="E41" s="1"/>
      <c r="F41" s="1"/>
      <c r="G41" s="1"/>
      <c r="H41" s="1"/>
      <c r="I41" s="1"/>
      <c r="L41" s="98"/>
    </row>
    <row r="42" spans="1:12">
      <c r="A42" s="97"/>
      <c r="B42" s="1"/>
      <c r="C42" s="1"/>
      <c r="D42" s="1"/>
      <c r="E42" s="1"/>
      <c r="F42" s="1"/>
      <c r="G42" s="1"/>
      <c r="H42" s="1"/>
      <c r="I42" s="1"/>
      <c r="L42" s="98"/>
    </row>
    <row r="43" spans="1:12">
      <c r="A43" s="97"/>
      <c r="B43" s="55" t="s">
        <v>207</v>
      </c>
      <c r="C43" s="1"/>
      <c r="D43" s="1"/>
      <c r="E43" s="1"/>
      <c r="F43" s="1"/>
      <c r="G43" s="1"/>
      <c r="H43" s="1"/>
      <c r="I43" s="1"/>
      <c r="L43" s="98"/>
    </row>
    <row r="44" spans="1:12">
      <c r="A44" s="97"/>
      <c r="B44" s="3"/>
      <c r="C44" s="1"/>
      <c r="D44" s="1"/>
      <c r="E44" s="1"/>
      <c r="F44" s="1"/>
      <c r="G44" s="1"/>
      <c r="H44" s="1"/>
      <c r="I44" s="1"/>
      <c r="L44" s="98"/>
    </row>
    <row r="45" spans="1:12">
      <c r="A45" s="97"/>
      <c r="B45" s="54"/>
      <c r="C45" s="50"/>
      <c r="D45" s="50"/>
      <c r="E45" s="50"/>
      <c r="F45" s="50"/>
      <c r="G45" s="50"/>
      <c r="H45" s="50"/>
      <c r="I45" s="50"/>
      <c r="J45" s="93"/>
      <c r="K45" s="93"/>
      <c r="L45" s="98"/>
    </row>
    <row r="46" spans="1:12">
      <c r="A46" s="97"/>
      <c r="B46" s="3"/>
      <c r="C46" s="1"/>
      <c r="D46" s="1"/>
      <c r="E46" s="1"/>
      <c r="F46" s="1"/>
      <c r="G46" s="1"/>
      <c r="H46" s="1"/>
      <c r="I46" s="1"/>
      <c r="L46" s="98"/>
    </row>
    <row r="47" spans="1:12">
      <c r="A47" s="97"/>
      <c r="B47" s="51" t="s">
        <v>0</v>
      </c>
      <c r="C47" s="1"/>
      <c r="D47" s="1"/>
      <c r="E47" s="1"/>
      <c r="F47" s="1"/>
      <c r="G47" s="1" t="s">
        <v>208</v>
      </c>
      <c r="H47" s="1"/>
      <c r="I47" s="1"/>
      <c r="L47" s="98"/>
    </row>
    <row r="48" spans="1:12">
      <c r="A48" s="97"/>
      <c r="B48" s="1" t="s">
        <v>2</v>
      </c>
      <c r="C48" s="1"/>
      <c r="D48" s="1"/>
      <c r="E48" s="1"/>
      <c r="F48" s="1"/>
      <c r="G48" s="1" t="s">
        <v>209</v>
      </c>
      <c r="H48" s="1"/>
      <c r="I48" s="1"/>
      <c r="L48" s="98"/>
    </row>
    <row r="49" spans="1:12">
      <c r="A49" s="97"/>
      <c r="B49" s="1" t="s">
        <v>4</v>
      </c>
      <c r="C49" s="1"/>
      <c r="D49" s="1"/>
      <c r="E49" s="1"/>
      <c r="F49" s="3"/>
      <c r="G49" s="1" t="s">
        <v>210</v>
      </c>
      <c r="H49" s="1"/>
      <c r="I49" s="1"/>
      <c r="L49" s="98"/>
    </row>
    <row r="50" spans="1:12">
      <c r="A50" s="97"/>
      <c r="B50" s="1" t="s">
        <v>6</v>
      </c>
      <c r="C50" s="1"/>
      <c r="D50" s="1"/>
      <c r="E50" s="1"/>
      <c r="F50" s="1"/>
      <c r="G50" s="1" t="s">
        <v>211</v>
      </c>
      <c r="H50" s="1"/>
      <c r="I50" s="1"/>
      <c r="L50" s="98"/>
    </row>
    <row r="51" spans="1:12">
      <c r="A51" s="97"/>
      <c r="B51" s="1"/>
      <c r="C51" s="1"/>
      <c r="D51" s="1"/>
      <c r="E51" s="1"/>
      <c r="F51" s="1"/>
      <c r="G51" s="1"/>
      <c r="H51" s="1"/>
      <c r="I51" s="1"/>
      <c r="L51" s="98"/>
    </row>
    <row r="52" spans="1:12">
      <c r="A52" s="99"/>
      <c r="B52" s="100"/>
      <c r="C52" s="100"/>
      <c r="D52" s="100"/>
      <c r="E52" s="100"/>
      <c r="F52" s="100"/>
      <c r="G52" s="100"/>
      <c r="H52" s="100"/>
      <c r="I52" s="100"/>
      <c r="J52" s="100"/>
      <c r="K52" s="100"/>
      <c r="L52" s="101"/>
    </row>
  </sheetData>
  <printOptions>
    <extLst>
      <ext uri="smNativeData">
        <pm:pageFlags xmlns:pm="smNativeData" id="19799" printRowHead="0" printColHead="0" printHeadLine="0" printFootLine="0" autoHeightHeader="0" autoHeightFooter="0" fitToPageBoth="0"/>
      </ext>
    </extLst>
  </printOptions>
  <pageMargins left="0.950000" right="0.200000" top="0.75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dimension ref="B2:L49"/>
  <sheetViews>
    <sheetView view="normal" topLeftCell="A27" workbookViewId="0">
      <selection activeCell="I43" sqref="I43"/>
    </sheetView>
  </sheetViews>
  <sheetFormatPr defaultRowHeight="14.60"/>
  <cols>
    <col min="1" max="1" width="6.000000" customWidth="1" style="111"/>
    <col min="2" max="2" width="5.500000" customWidth="1" style="111"/>
    <col min="3" max="4" width="9.333333" customWidth="1" style="111"/>
    <col min="5" max="5" width="15.666667" customWidth="1" style="111"/>
    <col min="6" max="257" width="9.333333" customWidth="1" style="111"/>
  </cols>
  <sheetData>
    <row r="2" spans="6:11">
      <c r="F2" s="116" t="s">
        <v>17</v>
      </c>
      <c r="G2" s="117"/>
      <c r="H2" s="117"/>
      <c r="I2" s="117"/>
      <c r="J2" s="117"/>
      <c r="K2" s="117"/>
    </row>
    <row r="3" spans="6:6">
      <c r="F3" s="1" t="s">
        <v>212</v>
      </c>
    </row>
    <row r="7" spans="2:10">
      <c r="B7" s="51" t="s">
        <v>213</v>
      </c>
      <c r="D7" s="111" t="str">
        <f>Sheet1!G25</f>
        <v>HR 20AY 7179</v>
      </c>
      <c r="H7" s="51" t="s">
        <v>214</v>
      </c>
      <c r="J7" s="1" t="str">
        <f>Sheet1!G18</f>
        <v>Mr JAGDEEP KUMAR</v>
      </c>
    </row>
    <row r="9" spans="2:2">
      <c r="B9" s="51" t="s">
        <v>215</v>
      </c>
    </row>
    <row r="11" spans="2:3">
      <c r="B11" s="112" t="n">
        <v>1</v>
      </c>
      <c r="C11" s="111" t="s">
        <v>216</v>
      </c>
    </row>
    <row r="12" spans="2:3">
      <c r="B12" s="112" t="n">
        <v>2</v>
      </c>
      <c r="C12" s="111" t="s">
        <v>217</v>
      </c>
    </row>
    <row r="13" spans="2:3">
      <c r="B13" s="112" t="n">
        <v>3</v>
      </c>
      <c r="C13" s="111" t="s">
        <v>218</v>
      </c>
    </row>
    <row r="14" spans="2:3">
      <c r="B14" s="112" t="n">
        <v>4</v>
      </c>
      <c r="C14" s="111" t="s">
        <v>219</v>
      </c>
    </row>
    <row r="15" spans="2:3">
      <c r="B15" s="112" t="n">
        <v>5</v>
      </c>
      <c r="C15" s="111" t="s">
        <v>220</v>
      </c>
    </row>
    <row r="16" spans="2:8">
      <c r="B16" s="112" t="n">
        <v>6</v>
      </c>
      <c r="C16" s="111" t="s">
        <v>221</v>
      </c>
      <c r="H16" s="115"/>
    </row>
    <row r="17" spans="2:3">
      <c r="B17" s="112" t="n">
        <v>7</v>
      </c>
      <c r="C17" s="111" t="s">
        <v>222</v>
      </c>
    </row>
    <row r="18" spans="2:3">
      <c r="B18" s="112" t="n">
        <v>8</v>
      </c>
      <c r="C18" s="111" t="s">
        <v>223</v>
      </c>
    </row>
    <row r="19" spans="2:3">
      <c r="B19" s="112" t="n">
        <v>9</v>
      </c>
      <c r="C19" s="111" t="s">
        <v>224</v>
      </c>
    </row>
    <row r="20" spans="2:3">
      <c r="B20" s="112" t="n">
        <v>10</v>
      </c>
      <c r="C20" s="111" t="s">
        <v>225</v>
      </c>
    </row>
    <row r="21" spans="2:3">
      <c r="B21" s="112" t="n">
        <v>11</v>
      </c>
      <c r="C21" s="111" t="s">
        <v>226</v>
      </c>
    </row>
    <row r="22" spans="2:3">
      <c r="B22" s="112" t="n">
        <v>12</v>
      </c>
      <c r="C22" s="111" t="s">
        <v>227</v>
      </c>
    </row>
    <row r="23" spans="2:3">
      <c r="B23" s="112" t="n">
        <v>13</v>
      </c>
      <c r="C23" s="111" t="s">
        <v>228</v>
      </c>
    </row>
    <row r="24" spans="2:3">
      <c r="B24" s="112" t="n">
        <v>14</v>
      </c>
      <c r="C24" s="111" t="s">
        <v>229</v>
      </c>
    </row>
    <row r="25" spans="2:3">
      <c r="B25" s="112" t="n">
        <v>15</v>
      </c>
      <c r="C25" s="111" t="s">
        <v>230</v>
      </c>
    </row>
    <row r="26" spans="2:3">
      <c r="B26" s="112" t="n">
        <v>16</v>
      </c>
      <c r="C26" s="111" t="s">
        <v>231</v>
      </c>
    </row>
    <row r="27" spans="2:3">
      <c r="B27" s="112" t="n">
        <v>17</v>
      </c>
      <c r="C27" s="111" t="s">
        <v>232</v>
      </c>
    </row>
    <row r="28" spans="2:3">
      <c r="B28" s="112" t="n">
        <v>18</v>
      </c>
      <c r="C28" s="111" t="s">
        <v>233</v>
      </c>
    </row>
    <row r="29" spans="2:3">
      <c r="B29" s="112" t="n">
        <v>19</v>
      </c>
      <c r="C29" s="111" t="s">
        <v>234</v>
      </c>
    </row>
    <row r="30" spans="2:2">
      <c r="B30" s="113"/>
    </row>
    <row r="31" spans="2:2">
      <c r="B31" s="114" t="s">
        <v>235</v>
      </c>
    </row>
    <row r="33" spans="2:3">
      <c r="B33" s="112" t="n">
        <v>1</v>
      </c>
      <c r="C33" s="111" t="s">
        <v>236</v>
      </c>
    </row>
    <row r="34" spans="2:9">
      <c r="B34" s="112" t="n">
        <v>2</v>
      </c>
      <c r="C34" s="111" t="s">
        <v>237</v>
      </c>
      <c r="I34" s="111" t="s">
        <v>41</v>
      </c>
    </row>
    <row r="35" spans="2:3">
      <c r="B35" s="112" t="n">
        <v>3</v>
      </c>
      <c r="C35" s="111" t="s">
        <v>238</v>
      </c>
    </row>
    <row r="37" spans="2:2">
      <c r="B37" s="51" t="s">
        <v>239</v>
      </c>
    </row>
    <row r="39" spans="2:3">
      <c r="B39" s="112" t="n">
        <v>1</v>
      </c>
      <c r="C39" s="111" t="s">
        <v>240</v>
      </c>
    </row>
    <row r="40" spans="2:3">
      <c r="B40" s="112" t="n">
        <v>2</v>
      </c>
      <c r="C40" s="111" t="s">
        <v>241</v>
      </c>
    </row>
    <row r="41" spans="2:3">
      <c r="B41" s="112" t="n">
        <v>3</v>
      </c>
      <c r="C41" s="111" t="s">
        <v>242</v>
      </c>
    </row>
    <row r="42" spans="2:3">
      <c r="B42" s="112" t="n">
        <v>4</v>
      </c>
      <c r="C42" s="111" t="s">
        <v>243</v>
      </c>
    </row>
    <row r="43" spans="2:3">
      <c r="B43" s="112" t="n">
        <v>5</v>
      </c>
      <c r="C43" s="111" t="s">
        <v>244</v>
      </c>
    </row>
    <row r="44" spans="2:3">
      <c r="B44" s="112" t="n">
        <v>6</v>
      </c>
      <c r="C44" s="111" t="s">
        <v>245</v>
      </c>
    </row>
    <row r="45" spans="2:3">
      <c r="B45" s="112" t="n">
        <v>7</v>
      </c>
      <c r="C45" s="111" t="s">
        <v>246</v>
      </c>
    </row>
    <row r="46" spans="2:3">
      <c r="B46" s="112" t="n">
        <v>8</v>
      </c>
      <c r="C46" s="111" t="s">
        <v>247</v>
      </c>
    </row>
    <row r="49" spans="5:12">
      <c r="E49" s="124" t="s">
        <v>248</v>
      </c>
      <c r="F49" s="125"/>
      <c r="G49" s="125"/>
      <c r="H49" s="125"/>
      <c r="I49" s="125"/>
      <c r="J49" s="125"/>
      <c r="K49" s="125"/>
      <c r="L49" s="125"/>
    </row>
  </sheetData>
  <printOptions>
    <extLst>
      <ext uri="smNativeData">
        <pm:pageFlags xmlns:pm="smNativeData" id="19799" printRowHead="0" printColHead="0" printHeadLine="0" printFootLine="0" autoHeightHeader="0" autoHeightFooter="0" fitToPageBoth="0"/>
      </ext>
    </extLst>
  </printOptions>
  <pageMargins left="0.699306" right="0.699306" top="0.50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drawing r:id="rId1"/>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dimension ref="A1:K60"/>
  <sheetViews>
    <sheetView view="normal" workbookViewId="0">
      <selection activeCell="D30" sqref="D30"/>
    </sheetView>
  </sheetViews>
  <sheetFormatPr defaultRowHeight="13.45"/>
  <cols>
    <col min="1" max="1" width="6.666667" customWidth="1" style="1"/>
    <col min="2" max="7" width="9.333333" customWidth="1" style="1"/>
    <col min="8" max="8" width="11.833333" customWidth="1" style="1"/>
    <col min="9" max="257" width="9.333333" customWidth="1" style="1"/>
  </cols>
  <sheetData>
    <row r="1" spans="6:6">
      <c r="F1" s="1" t="s">
        <v>249</v>
      </c>
    </row>
    <row r="2" spans="4:4">
      <c r="D2" s="1" t="s">
        <v>250</v>
      </c>
    </row>
    <row r="3" spans="3:3">
      <c r="C3" s="1" t="s">
        <v>251</v>
      </c>
    </row>
    <row r="4" spans="2:11">
      <c r="B4" s="67" t="s">
        <v>252</v>
      </c>
      <c r="C4" s="62"/>
      <c r="D4" s="62"/>
      <c r="E4" s="62"/>
      <c r="F4" s="62"/>
      <c r="G4" s="87"/>
      <c r="H4" s="62" t="s">
        <v>253</v>
      </c>
      <c r="I4" s="62" t="str">
        <f>Sheet1!G16</f>
        <v>231203/31/2025/7146</v>
      </c>
      <c r="J4" s="62"/>
      <c r="K4" s="87"/>
    </row>
    <row r="5" spans="2:11">
      <c r="B5" s="19" t="s">
        <v>254</v>
      </c>
      <c r="C5" s="20"/>
      <c r="D5" s="20"/>
      <c r="E5" s="20"/>
      <c r="F5" s="20"/>
      <c r="G5" s="22"/>
      <c r="H5" s="20" t="s">
        <v>255</v>
      </c>
      <c r="I5" s="62" t="str">
        <f>Sheet1!G18</f>
        <v>Mr JAGDEEP KUMAR</v>
      </c>
      <c r="J5" s="20"/>
      <c r="K5" s="22"/>
    </row>
    <row r="6" spans="2:11">
      <c r="B6" s="19" t="s">
        <v>256</v>
      </c>
      <c r="C6" s="20"/>
      <c r="D6" s="20"/>
      <c r="E6" s="20" t="s">
        <v>257</v>
      </c>
      <c r="F6" s="20"/>
      <c r="G6" s="22"/>
      <c r="H6" s="20" t="s">
        <v>258</v>
      </c>
      <c r="I6" s="20"/>
      <c r="J6" s="20"/>
      <c r="K6" s="22"/>
    </row>
    <row r="7" spans="2:11">
      <c r="B7" s="2" t="s">
        <v>259</v>
      </c>
      <c r="E7" s="1" t="str">
        <f>Sheet1!C8</f>
        <v>SK/2025-26/OICL/116</v>
      </c>
      <c r="G7" s="4"/>
      <c r="H7" s="1" t="s">
        <v>260</v>
      </c>
      <c r="K7" s="4"/>
    </row>
    <row r="8" spans="2:11">
      <c r="B8" s="2"/>
      <c r="G8" s="4"/>
      <c r="H8" s="1" t="s">
        <v>261</v>
      </c>
      <c r="J8" s="13" t="n">
        <v>73070</v>
      </c>
      <c r="K8" s="4"/>
    </row>
    <row r="9" spans="2:11">
      <c r="B9" s="5"/>
      <c r="C9" s="6"/>
      <c r="D9" s="6"/>
      <c r="E9" s="6"/>
      <c r="F9" s="6"/>
      <c r="G9" s="7"/>
      <c r="H9" s="6" t="s">
        <v>262</v>
      </c>
      <c r="I9" s="6"/>
      <c r="J9" s="6" t="s">
        <v>263</v>
      </c>
      <c r="K9" s="7"/>
    </row>
    <row r="11" spans="2:8">
      <c r="B11" s="13" t="n">
        <v>1</v>
      </c>
      <c r="C11" s="1" t="s">
        <v>264</v>
      </c>
      <c r="H11" s="1" t="str">
        <f>Sheet1!N52</f>
        <v>13.02.2026</v>
      </c>
    </row>
    <row r="12" spans="2:2">
      <c r="B12" s="13"/>
    </row>
    <row r="13" spans="2:8">
      <c r="B13" s="13" t="n">
        <v>2</v>
      </c>
      <c r="C13" s="1" t="s">
        <v>265</v>
      </c>
      <c r="H13" s="1" t="str">
        <f>Sheet1!G56</f>
        <v>14.02.2026</v>
      </c>
    </row>
    <row r="14" spans="2:2">
      <c r="B14" s="13"/>
    </row>
    <row r="15" spans="2:8">
      <c r="B15" s="126" t="s">
        <v>266</v>
      </c>
      <c r="C15" s="1" t="s">
        <v>267</v>
      </c>
      <c r="H15" s="1" t="str">
        <f>Sheet1!G57</f>
        <v>16.02.2026</v>
      </c>
    </row>
    <row r="16" spans="1:2">
      <c r="A16" s="1" t="s">
        <v>41</v>
      </c>
      <c r="B16" s="13"/>
    </row>
    <row r="17" spans="2:3">
      <c r="B17" s="13" t="s">
        <v>268</v>
      </c>
      <c r="C17" s="1" t="s">
        <v>269</v>
      </c>
    </row>
    <row r="18" spans="2:2">
      <c r="B18" s="13"/>
    </row>
    <row r="19" spans="2:3">
      <c r="B19" s="13" t="n">
        <v>4</v>
      </c>
      <c r="C19" s="1" t="s">
        <v>270</v>
      </c>
    </row>
    <row r="20" spans="2:2">
      <c r="B20" s="13"/>
    </row>
    <row r="21" spans="2:3">
      <c r="B21" s="13" t="n">
        <v>5</v>
      </c>
      <c r="C21" s="1" t="s">
        <v>271</v>
      </c>
    </row>
    <row r="22" spans="2:2">
      <c r="B22" s="13"/>
    </row>
    <row r="23" spans="2:3">
      <c r="B23" s="13" t="n">
        <v>6</v>
      </c>
      <c r="C23" s="1" t="s">
        <v>272</v>
      </c>
    </row>
    <row r="24" spans="2:2">
      <c r="B24" s="13"/>
    </row>
    <row r="25" spans="2:3">
      <c r="B25" s="13" t="n">
        <v>7</v>
      </c>
      <c r="C25" s="1" t="s">
        <v>273</v>
      </c>
    </row>
    <row r="26" spans="2:2">
      <c r="B26" s="13"/>
    </row>
    <row r="27" spans="2:10">
      <c r="B27" s="13" t="n">
        <v>8</v>
      </c>
      <c r="C27" s="1" t="s">
        <v>274</v>
      </c>
      <c r="J27" s="1" t="s">
        <v>275</v>
      </c>
    </row>
    <row r="28" spans="2:2">
      <c r="B28" s="13"/>
    </row>
    <row r="29" spans="2:3">
      <c r="B29" s="13" t="n">
        <v>9</v>
      </c>
      <c r="C29" s="1" t="s">
        <v>276</v>
      </c>
    </row>
    <row r="30" spans="2:3">
      <c r="B30" s="13"/>
      <c r="C30" s="1" t="s">
        <v>277</v>
      </c>
    </row>
    <row r="31" spans="2:2">
      <c r="B31" s="13"/>
    </row>
    <row r="32" spans="2:3">
      <c r="B32" s="13" t="n">
        <v>10</v>
      </c>
      <c r="C32" s="1" t="s">
        <v>278</v>
      </c>
    </row>
    <row r="33" spans="2:2">
      <c r="B33" s="13"/>
    </row>
    <row r="34" spans="2:2">
      <c r="B34" s="13" t="s">
        <v>279</v>
      </c>
    </row>
    <row r="35" spans="2:9">
      <c r="B35" s="13" t="s">
        <v>280</v>
      </c>
      <c r="I35" s="3" t="s">
        <v>281</v>
      </c>
    </row>
    <row r="36" spans="2:11">
      <c r="B36" s="127"/>
      <c r="C36" s="6"/>
      <c r="D36" s="6"/>
      <c r="E36" s="6"/>
      <c r="F36" s="6"/>
      <c r="G36" s="6"/>
      <c r="H36" s="6"/>
      <c r="I36" s="6"/>
      <c r="J36" s="6"/>
      <c r="K36" s="6"/>
    </row>
    <row r="37" spans="2:11" ht="3" customHeight="1">
      <c r="B37" s="20"/>
      <c r="C37" s="20"/>
      <c r="D37" s="20"/>
      <c r="E37" s="20"/>
      <c r="F37" s="20"/>
      <c r="G37" s="20"/>
      <c r="H37" s="20"/>
      <c r="I37" s="20"/>
      <c r="J37" s="20"/>
      <c r="K37" s="20"/>
    </row>
    <row r="39" spans="2:2">
      <c r="B39" s="10" t="s">
        <v>282</v>
      </c>
    </row>
    <row r="41" spans="2:2">
      <c r="B41" s="1" t="s">
        <v>283</v>
      </c>
    </row>
    <row r="42" spans="2:11">
      <c r="B42" s="67"/>
      <c r="C42" s="86" t="s">
        <v>284</v>
      </c>
      <c r="D42" s="83"/>
      <c r="E42" s="83"/>
      <c r="F42" s="83"/>
      <c r="G42" s="123"/>
      <c r="H42" s="220" t="s">
        <v>285</v>
      </c>
      <c r="I42" s="221"/>
      <c r="J42" s="91"/>
      <c r="K42" s="128" t="s">
        <v>286</v>
      </c>
    </row>
    <row r="43" spans="2:11">
      <c r="B43" s="2"/>
      <c r="C43" s="14"/>
      <c r="D43" s="3"/>
      <c r="E43" s="3"/>
      <c r="F43" s="3"/>
      <c r="G43" s="129"/>
      <c r="H43" s="222" t="s">
        <v>287</v>
      </c>
      <c r="I43" s="105"/>
      <c r="J43" s="223"/>
      <c r="K43" s="130"/>
    </row>
    <row r="44" spans="2:11">
      <c r="B44" s="67"/>
      <c r="C44" s="67" t="s">
        <v>288</v>
      </c>
      <c r="D44" s="62"/>
      <c r="E44" s="62"/>
      <c r="F44" s="62"/>
      <c r="G44" s="87"/>
      <c r="H44" s="62"/>
      <c r="I44" s="62"/>
      <c r="J44" s="62"/>
      <c r="K44" s="294" t="s">
        <v>289</v>
      </c>
    </row>
    <row r="45" spans="2:11">
      <c r="B45" s="5"/>
      <c r="C45" s="5" t="s">
        <v>290</v>
      </c>
      <c r="D45" s="6"/>
      <c r="E45" s="6"/>
      <c r="F45" s="6"/>
      <c r="G45" s="7"/>
      <c r="H45" s="6"/>
      <c r="I45" s="6"/>
      <c r="J45" s="6"/>
      <c r="K45" s="122"/>
    </row>
    <row r="46" spans="2:11" ht="6.75" customHeight="1">
      <c r="B46" s="2"/>
      <c r="C46" s="2"/>
      <c r="G46" s="4"/>
      <c r="K46" s="63"/>
    </row>
    <row r="47" spans="2:11">
      <c r="B47" s="2"/>
      <c r="C47" s="2" t="s">
        <v>291</v>
      </c>
      <c r="G47" s="4"/>
      <c r="K47" s="295" t="s">
        <v>289</v>
      </c>
    </row>
    <row r="48" spans="2:11">
      <c r="B48" s="2"/>
      <c r="C48" s="2" t="s">
        <v>292</v>
      </c>
      <c r="G48" s="4"/>
      <c r="K48" s="63"/>
    </row>
    <row r="49" spans="2:11" ht="6.75" customHeight="1">
      <c r="B49" s="2"/>
      <c r="C49" s="2"/>
      <c r="G49" s="4"/>
      <c r="K49" s="63"/>
    </row>
    <row r="50" spans="2:11">
      <c r="B50" s="19"/>
      <c r="C50" s="19" t="s">
        <v>293</v>
      </c>
      <c r="D50" s="20"/>
      <c r="E50" s="20"/>
      <c r="F50" s="20"/>
      <c r="G50" s="22"/>
      <c r="H50" s="20"/>
      <c r="I50" s="20"/>
      <c r="J50" s="20"/>
      <c r="K50" s="296" t="s">
        <v>289</v>
      </c>
    </row>
    <row r="51" spans="2:11">
      <c r="B51" s="19"/>
      <c r="C51" s="19" t="s">
        <v>294</v>
      </c>
      <c r="D51" s="20"/>
      <c r="E51" s="20"/>
      <c r="F51" s="20"/>
      <c r="G51" s="22"/>
      <c r="H51" s="20"/>
      <c r="I51" s="20"/>
      <c r="J51" s="20"/>
      <c r="K51" s="296" t="s">
        <v>289</v>
      </c>
    </row>
    <row r="52" spans="2:11">
      <c r="B52" s="5"/>
      <c r="C52" s="5" t="s">
        <v>295</v>
      </c>
      <c r="D52" s="6"/>
      <c r="E52" s="6"/>
      <c r="F52" s="6"/>
      <c r="G52" s="7"/>
      <c r="H52" s="6"/>
      <c r="I52" s="6"/>
      <c r="J52" s="6"/>
      <c r="K52" s="297" t="s">
        <v>289</v>
      </c>
    </row>
    <row r="54" spans="2:2">
      <c r="B54" s="1" t="s">
        <v>296</v>
      </c>
    </row>
    <row r="56" spans="2:2">
      <c r="B56" s="1" t="s">
        <v>297</v>
      </c>
    </row>
    <row r="57" spans="2:2">
      <c r="B57" s="1" t="s">
        <v>298</v>
      </c>
    </row>
    <row r="58" spans="2:2">
      <c r="B58" s="1" t="s">
        <v>299</v>
      </c>
    </row>
    <row r="59" spans="2:2">
      <c r="B59" s="1" t="s">
        <v>300</v>
      </c>
    </row>
    <row r="60" spans="2:2">
      <c r="B60" s="1" t="s">
        <v>301</v>
      </c>
    </row>
  </sheetData>
  <mergeCells count="2">
    <mergeCell ref="H42:J42"/>
    <mergeCell ref="H43:J43"/>
  </mergeCells>
  <printOptions horizontalCentered="1">
    <extLst>
      <ext uri="smNativeData">
        <pm:pageFlags xmlns:pm="smNativeData" id="19799" printRowHead="0" printColHead="0" printHeadLine="0" printFootLine="0" autoHeightHeader="0" autoHeightFooter="0" fitToPageBoth="0"/>
      </ext>
    </extLst>
  </printOptions>
  <pageMargins left="0.699306" right="0.699306" top="0.50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5.xml><?xml version="1.0" encoding="utf-8"?>
<worksheet xmlns="http://schemas.openxmlformats.org/spreadsheetml/2006/main" xmlns:r="http://schemas.openxmlformats.org/officeDocument/2006/relationships" xmlns:mc="http://schemas.openxmlformats.org/markup-compatibility/2006">
  <dimension ref="B1:M55"/>
  <sheetViews>
    <sheetView view="normal" topLeftCell="A17" workbookViewId="0">
      <selection activeCell="H45" sqref="H45"/>
    </sheetView>
  </sheetViews>
  <sheetFormatPr defaultRowHeight="13.45"/>
  <cols>
    <col min="1" max="1" width="3.833333" customWidth="1" style="1"/>
    <col min="2" max="2" width="4.500000" customWidth="1" style="1"/>
    <col min="3" max="4" width="9.333333" customWidth="1" style="1"/>
    <col min="5" max="5" width="10.000000" customWidth="1" style="1"/>
    <col min="6" max="6" width="13.666667" customWidth="1" style="1"/>
    <col min="7" max="8" width="11.000000" customWidth="1" style="1"/>
    <col min="9" max="10" width="9.333333" customWidth="1" style="1"/>
    <col min="11" max="11" width="6.333333" customWidth="1" style="1"/>
    <col min="12" max="12" width="14.833333" customWidth="1" style="1"/>
    <col min="13" max="13" width="6.166667" customWidth="1" style="1"/>
    <col min="14" max="257" width="9.333333" customWidth="1" style="1"/>
  </cols>
  <sheetData>
    <row r="1" spans="2:13">
      <c r="B1" s="67"/>
      <c r="C1" s="62"/>
      <c r="D1" s="62"/>
      <c r="E1" s="62"/>
      <c r="F1" s="62"/>
      <c r="G1" s="62"/>
      <c r="H1" s="62"/>
      <c r="I1" s="62"/>
      <c r="J1" s="62"/>
      <c r="K1" s="62"/>
      <c r="L1" s="62"/>
      <c r="M1" s="87"/>
    </row>
    <row r="2" spans="2:13">
      <c r="B2" s="2"/>
      <c r="M2" s="4"/>
    </row>
    <row r="3" spans="2:13">
      <c r="B3" s="2"/>
      <c r="C3" s="51" t="s">
        <v>0</v>
      </c>
      <c r="J3" s="1" t="s">
        <v>302</v>
      </c>
      <c r="M3" s="4"/>
    </row>
    <row r="4" spans="2:13">
      <c r="B4" s="2"/>
      <c r="C4" s="1" t="s">
        <v>2</v>
      </c>
      <c r="D4" s="3"/>
      <c r="J4" s="1" t="s">
        <v>3</v>
      </c>
      <c r="M4" s="4"/>
    </row>
    <row r="5" spans="2:13">
      <c r="B5" s="2"/>
      <c r="C5" s="1" t="s">
        <v>303</v>
      </c>
      <c r="I5" s="3"/>
      <c r="J5" s="1" t="s">
        <v>5</v>
      </c>
      <c r="M5" s="4"/>
    </row>
    <row r="6" spans="2:13">
      <c r="B6" s="2"/>
      <c r="C6" s="6" t="s">
        <v>6</v>
      </c>
      <c r="D6" s="6"/>
      <c r="E6" s="6"/>
      <c r="F6" s="6"/>
      <c r="G6" s="6"/>
      <c r="H6" s="6"/>
      <c r="I6" s="6"/>
      <c r="J6" s="6" t="s">
        <v>304</v>
      </c>
      <c r="K6" s="6"/>
      <c r="L6" s="6"/>
      <c r="M6" s="4"/>
    </row>
    <row r="7" spans="2:13" ht="3" customHeight="1">
      <c r="B7" s="2"/>
      <c r="C7" s="50"/>
      <c r="D7" s="50"/>
      <c r="E7" s="50"/>
      <c r="F7" s="50"/>
      <c r="G7" s="50"/>
      <c r="H7" s="50"/>
      <c r="I7" s="50"/>
      <c r="J7" s="50"/>
      <c r="K7" s="50"/>
      <c r="L7" s="50"/>
      <c r="M7" s="4"/>
    </row>
    <row r="8" spans="2:13">
      <c r="B8" s="2"/>
      <c r="C8" s="3"/>
      <c r="K8" s="8"/>
      <c r="L8" s="9"/>
      <c r="M8" s="4"/>
    </row>
    <row r="9" spans="2:13">
      <c r="B9" s="134"/>
      <c r="M9" s="4"/>
    </row>
    <row r="10" spans="2:13">
      <c r="B10" s="2"/>
      <c r="C10" s="3" t="s">
        <v>8</v>
      </c>
      <c r="D10" s="1" t="str">
        <f>Sheet1!C8</f>
        <v>SK/2025-26/OICL/116</v>
      </c>
      <c r="K10" s="8" t="s">
        <v>10</v>
      </c>
      <c r="L10" s="16" t="str">
        <f>Sheet1!K8</f>
        <v>19.02.2026</v>
      </c>
      <c r="M10" s="4"/>
    </row>
    <row r="11" spans="2:13">
      <c r="B11" s="2"/>
      <c r="C11" s="3"/>
      <c r="K11" s="8"/>
      <c r="L11" s="9"/>
      <c r="M11" s="4"/>
    </row>
    <row r="12" spans="2:13">
      <c r="B12" s="2"/>
      <c r="C12" s="3"/>
      <c r="F12" s="135" t="s">
        <v>305</v>
      </c>
      <c r="K12" s="8"/>
      <c r="L12" s="9"/>
      <c r="M12" s="4"/>
    </row>
    <row r="13" spans="2:13">
      <c r="B13" s="2"/>
      <c r="F13" s="136"/>
      <c r="G13" s="137"/>
      <c r="M13" s="4"/>
    </row>
    <row r="14" spans="2:13">
      <c r="B14" s="138"/>
      <c r="M14" s="4"/>
    </row>
    <row r="15" spans="2:13">
      <c r="B15" s="2"/>
      <c r="C15" s="3" t="s">
        <v>29</v>
      </c>
      <c r="G15" s="1" t="str">
        <f>Sheet1!G18</f>
        <v>Mr JAGDEEP KUMAR</v>
      </c>
      <c r="M15" s="4"/>
    </row>
    <row r="16" spans="2:13">
      <c r="B16" s="2"/>
      <c r="G16" s="1" t="str">
        <f>Sheet1!G19</f>
        <v>2563, Sector-9-11, Hissar</v>
      </c>
      <c r="M16" s="4"/>
    </row>
    <row r="17" spans="2:13">
      <c r="B17" s="138"/>
      <c r="M17" s="4"/>
    </row>
    <row r="18" spans="2:13">
      <c r="B18" s="2"/>
      <c r="C18" s="3" t="s">
        <v>15</v>
      </c>
      <c r="G18" s="13" t="str">
        <f>Sheet1!G13</f>
        <v>The Oriental Insurance Co. Ltd.</v>
      </c>
      <c r="M18" s="4"/>
    </row>
    <row r="19" spans="2:13">
      <c r="B19" s="2"/>
      <c r="G19" s="13" t="str">
        <f>Sheet1!G14</f>
        <v>BO: SCO-52, Sector-42C, Chandigarh</v>
      </c>
      <c r="H19" s="13"/>
      <c r="M19" s="4"/>
    </row>
    <row r="20" spans="2:13">
      <c r="B20" s="2" t="s">
        <v>306</v>
      </c>
      <c r="G20" s="13" t="str">
        <f>Sheet1!G15</f>
        <v>Case allotted by The Oriental Ins. Co. Ltd., RO: SVC, Sector-17, Chd.</v>
      </c>
      <c r="M20" s="4"/>
    </row>
    <row r="21" spans="2:13">
      <c r="B21" s="2"/>
      <c r="M21" s="4"/>
    </row>
    <row r="22" spans="2:13">
      <c r="B22" s="2"/>
      <c r="C22" s="3" t="s">
        <v>307</v>
      </c>
      <c r="G22" s="11" t="str">
        <f>Sheet1!G25</f>
        <v>HR 20AY 7179</v>
      </c>
      <c r="M22" s="4"/>
    </row>
    <row r="23" spans="2:13">
      <c r="B23" s="2"/>
      <c r="C23" s="1" t="s">
        <v>55</v>
      </c>
      <c r="G23" s="13" t="str">
        <f>Sheet1!G31</f>
        <v>SKODA KUSHAQ STYLE 1.0 TSI AT/2023</v>
      </c>
      <c r="M23" s="4"/>
    </row>
    <row r="24" spans="2:13">
      <c r="B24" s="134"/>
      <c r="M24" s="4"/>
    </row>
    <row r="25" spans="2:13">
      <c r="B25" s="2"/>
      <c r="C25" s="3" t="s">
        <v>308</v>
      </c>
      <c r="G25" s="11" t="str">
        <f>Sheet1!G16</f>
        <v>231203/31/2025/7146</v>
      </c>
      <c r="J25" s="8" t="s">
        <v>27</v>
      </c>
      <c r="K25" s="13" t="str">
        <f>Sheet1!K16</f>
        <v>22.03.2025 to 21.03.2026</v>
      </c>
      <c r="M25" s="4"/>
    </row>
    <row r="26" spans="2:13" ht="9" customHeight="1">
      <c r="B26" s="2"/>
      <c r="C26" s="47"/>
      <c r="D26" s="6"/>
      <c r="E26" s="6"/>
      <c r="F26" s="6"/>
      <c r="G26" s="106"/>
      <c r="H26" s="139"/>
      <c r="I26" s="127"/>
      <c r="J26" s="6"/>
      <c r="K26" s="6"/>
      <c r="L26" s="6"/>
      <c r="M26" s="4"/>
    </row>
    <row r="27" spans="2:13" ht="9" customHeight="1">
      <c r="B27" s="2"/>
      <c r="C27" s="3"/>
      <c r="G27" s="11"/>
      <c r="H27" s="8"/>
      <c r="I27" s="13"/>
      <c r="M27" s="4"/>
    </row>
    <row r="28" spans="2:13">
      <c r="B28" s="2"/>
      <c r="C28" s="3" t="s">
        <v>309</v>
      </c>
      <c r="G28" s="53" t="s">
        <v>310</v>
      </c>
      <c r="H28" s="32" t="n">
        <v>1800</v>
      </c>
      <c r="I28" s="140"/>
      <c r="M28" s="4"/>
    </row>
    <row r="29" spans="2:13">
      <c r="B29" s="134"/>
      <c r="G29" s="53"/>
      <c r="M29" s="4"/>
    </row>
    <row r="30" spans="2:13">
      <c r="B30" s="2"/>
      <c r="C30" s="3" t="s">
        <v>311</v>
      </c>
      <c r="G30" s="53" t="s">
        <v>310</v>
      </c>
      <c r="H30" s="32" t="n">
        <v>500</v>
      </c>
      <c r="M30" s="4"/>
    </row>
    <row r="31" spans="2:13">
      <c r="B31" s="134"/>
      <c r="G31" s="53"/>
      <c r="M31" s="4"/>
    </row>
    <row r="32" spans="2:13">
      <c r="B32" s="2"/>
      <c r="C32" s="3" t="s">
        <v>312</v>
      </c>
      <c r="G32" s="53" t="s">
        <v>310</v>
      </c>
      <c r="H32" s="32" t="n">
        <v>0</v>
      </c>
      <c r="M32" s="4"/>
    </row>
    <row r="33" spans="2:13">
      <c r="B33" s="134"/>
      <c r="C33" s="1" t="s">
        <v>313</v>
      </c>
      <c r="G33" s="53"/>
      <c r="M33" s="4"/>
    </row>
    <row r="34" spans="2:13">
      <c r="B34" s="134"/>
      <c r="G34" s="53"/>
      <c r="M34" s="4"/>
    </row>
    <row r="35" spans="2:13">
      <c r="B35" s="2"/>
      <c r="C35" s="3" t="s">
        <v>314</v>
      </c>
      <c r="G35" s="53" t="s">
        <v>310</v>
      </c>
      <c r="H35" s="32" t="n">
        <v>0</v>
      </c>
      <c r="M35" s="4"/>
    </row>
    <row r="36" spans="2:13">
      <c r="B36" s="134"/>
      <c r="G36" s="53"/>
      <c r="M36" s="4"/>
    </row>
    <row r="37" spans="2:13">
      <c r="B37" s="2"/>
      <c r="C37" s="3" t="s">
        <v>315</v>
      </c>
      <c r="G37" s="53" t="s">
        <v>310</v>
      </c>
      <c r="H37" s="32" t="n">
        <v>0</v>
      </c>
      <c r="M37" s="4"/>
    </row>
    <row r="38" spans="2:13">
      <c r="B38" s="2"/>
      <c r="G38" s="53"/>
      <c r="H38" s="1" t="s">
        <v>316</v>
      </c>
      <c r="M38" s="4"/>
    </row>
    <row r="39" spans="2:13">
      <c r="B39" s="2"/>
      <c r="F39" s="8" t="s">
        <v>317</v>
      </c>
      <c r="G39" s="53" t="s">
        <v>310</v>
      </c>
      <c r="H39" s="32">
        <f>SUM(H28:H37)</f>
        <v>2300</v>
      </c>
      <c r="M39" s="4"/>
    </row>
    <row r="40" spans="2:13">
      <c r="B40" s="2"/>
      <c r="H40" s="1" t="s">
        <v>316</v>
      </c>
      <c r="M40" s="4"/>
    </row>
    <row r="41" spans="2:13">
      <c r="B41" s="134"/>
      <c r="M41" s="4"/>
    </row>
    <row r="42" spans="2:13">
      <c r="B42" s="134"/>
      <c r="C42" s="153" t="s">
        <v>318</v>
      </c>
      <c r="D42" s="154"/>
      <c r="E42" s="154" t="s">
        <v>319</v>
      </c>
      <c r="F42" s="155"/>
      <c r="M42" s="4"/>
    </row>
    <row r="43" spans="2:13">
      <c r="B43" s="2"/>
      <c r="M43" s="4"/>
    </row>
    <row r="44" spans="2:13">
      <c r="B44" s="2"/>
      <c r="M44" s="4"/>
    </row>
    <row r="45" spans="2:13">
      <c r="B45" s="2"/>
      <c r="C45" s="141" t="s">
        <v>320</v>
      </c>
      <c r="D45" s="142"/>
      <c r="E45" s="142"/>
      <c r="F45" s="143"/>
      <c r="J45" s="3" t="s">
        <v>321</v>
      </c>
      <c r="M45" s="4"/>
    </row>
    <row r="46" spans="2:13">
      <c r="B46" s="2"/>
      <c r="C46" s="144"/>
      <c r="D46" s="145"/>
      <c r="E46" s="146"/>
      <c r="F46" s="147"/>
      <c r="M46" s="4"/>
    </row>
    <row r="47" spans="2:13">
      <c r="B47" s="2"/>
      <c r="C47" s="148" t="s">
        <v>322</v>
      </c>
      <c r="D47" s="145"/>
      <c r="E47" s="146"/>
      <c r="F47" s="147"/>
      <c r="M47" s="4"/>
    </row>
    <row r="48" spans="2:13">
      <c r="B48" s="2"/>
      <c r="C48" s="144" t="s">
        <v>323</v>
      </c>
      <c r="D48" s="145"/>
      <c r="E48" s="145" t="s">
        <v>324</v>
      </c>
      <c r="F48" s="149"/>
      <c r="M48" s="4"/>
    </row>
    <row r="49" spans="2:13">
      <c r="B49" s="2"/>
      <c r="C49" s="144" t="s">
        <v>325</v>
      </c>
      <c r="D49" s="145"/>
      <c r="E49" s="298" t="s">
        <v>326</v>
      </c>
      <c r="F49" s="149"/>
      <c r="M49" s="4"/>
    </row>
    <row r="50" spans="2:13">
      <c r="B50" s="2"/>
      <c r="C50" s="144" t="s">
        <v>327</v>
      </c>
      <c r="D50" s="145"/>
      <c r="E50" s="145" t="s">
        <v>328</v>
      </c>
      <c r="F50" s="149"/>
      <c r="M50" s="4"/>
    </row>
    <row r="51" spans="2:13">
      <c r="B51" s="2"/>
      <c r="C51" s="144" t="s">
        <v>329</v>
      </c>
      <c r="D51" s="145"/>
      <c r="E51" s="145" t="s">
        <v>330</v>
      </c>
      <c r="F51" s="147"/>
      <c r="M51" s="4"/>
    </row>
    <row r="52" spans="2:13">
      <c r="B52" s="2"/>
      <c r="C52" s="150" t="s">
        <v>331</v>
      </c>
      <c r="D52" s="151"/>
      <c r="E52" s="299" t="s">
        <v>332</v>
      </c>
      <c r="F52" s="152"/>
      <c r="M52" s="4"/>
    </row>
    <row r="53" spans="2:13">
      <c r="B53" s="2"/>
      <c r="M53" s="4"/>
    </row>
    <row r="54" spans="2:13">
      <c r="B54" s="2"/>
      <c r="M54" s="4"/>
    </row>
    <row r="55" spans="2:13">
      <c r="B55" s="5"/>
      <c r="C55" s="6"/>
      <c r="D55" s="6"/>
      <c r="E55" s="6"/>
      <c r="F55" s="6"/>
      <c r="G55" s="6"/>
      <c r="H55" s="6"/>
      <c r="I55" s="6"/>
      <c r="J55" s="6"/>
      <c r="K55" s="6"/>
      <c r="L55" s="6"/>
      <c r="M55" s="7"/>
    </row>
  </sheetData>
  <printOptions horizontalCentered="1">
    <extLst>
      <ext uri="smNativeData">
        <pm:pageFlags xmlns:pm="smNativeData" id="19799" printRowHead="0" printColHead="0" printHeadLine="0" printFootLine="0" autoHeightHeader="0" autoHeightFooter="0" fitToPageBoth="0"/>
      </ext>
    </extLst>
  </printOptions>
  <pageMargins left="0.450000" right="0.450000" top="0.50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6.xml><?xml version="1.0" encoding="utf-8"?>
<worksheet xmlns="http://schemas.openxmlformats.org/spreadsheetml/2006/main" xmlns:r="http://schemas.openxmlformats.org/officeDocument/2006/relationships" xmlns:mc="http://schemas.openxmlformats.org/markup-compatibility/2006">
  <dimension ref="B5:I26"/>
  <sheetViews>
    <sheetView view="normal" topLeftCell="A10" workbookViewId="0">
      <selection activeCell="D30" sqref="D30"/>
    </sheetView>
  </sheetViews>
  <sheetFormatPr defaultRowHeight="15.80"/>
  <cols>
    <col min="1" max="1" width="7.666667" customWidth="1" style="57"/>
    <col min="2" max="2" width="32.500000" customWidth="1" style="57"/>
    <col min="3" max="3" width="17.166667" customWidth="1" style="57"/>
    <col min="4" max="4" width="22.666667" customWidth="1" style="57"/>
    <col min="5" max="5" width="9.666667" customWidth="1" style="57"/>
    <col min="6" max="6" width="14.666667" customWidth="1" style="57"/>
    <col min="7" max="7" width="9.333333" customWidth="1" style="57"/>
    <col min="8" max="8" width="12.500000" customWidth="1" style="57"/>
    <col min="9" max="257" width="9.333333" customWidth="1" style="57"/>
  </cols>
  <sheetData>
    <row r="5" spans="2:6">
      <c r="B5" s="224" t="s">
        <v>333</v>
      </c>
      <c r="C5" s="225"/>
      <c r="D5" s="225"/>
      <c r="E5" s="225"/>
      <c r="F5" s="226"/>
    </row>
    <row r="6" spans="2:6">
      <c r="B6" s="172"/>
      <c r="C6" s="173"/>
      <c r="D6" s="173"/>
      <c r="E6" s="173"/>
      <c r="F6" s="174"/>
    </row>
    <row r="7" spans="2:9" ht="30" customHeight="1">
      <c r="B7" s="157" t="s">
        <v>334</v>
      </c>
      <c r="C7" s="163"/>
      <c r="D7" s="166" t="s">
        <v>335</v>
      </c>
      <c r="E7" s="167" t="s">
        <v>336</v>
      </c>
      <c r="F7" s="158" t="s">
        <v>337</v>
      </c>
      <c r="I7" s="56"/>
    </row>
    <row r="8" spans="2:6">
      <c r="B8" s="160" t="s">
        <v>338</v>
      </c>
      <c r="C8" s="161"/>
      <c r="D8" s="170">
        <f>Sheet1!I134</f>
        <v>13170</v>
      </c>
      <c r="E8" s="168" t="n">
        <v>18</v>
      </c>
      <c r="F8" s="178">
        <f>D8*E8/100</f>
        <v>2370.59999999999991</v>
      </c>
    </row>
    <row r="9" spans="2:6">
      <c r="B9" s="159" t="s">
        <v>339</v>
      </c>
      <c r="C9" s="162"/>
      <c r="D9" s="171">
        <f>Sheet1!G111</f>
        <v>0</v>
      </c>
      <c r="E9" s="169" t="n">
        <v>18</v>
      </c>
      <c r="F9" s="185">
        <f>D9*E9/100</f>
        <v>0</v>
      </c>
    </row>
    <row r="10" spans="2:6">
      <c r="B10" s="160" t="s">
        <v>339</v>
      </c>
      <c r="C10" s="161"/>
      <c r="D10" s="161" t="n">
        <v>0</v>
      </c>
      <c r="E10" s="168" t="n">
        <v>18</v>
      </c>
      <c r="F10" s="170">
        <f>D10*E10/100</f>
        <v>0</v>
      </c>
    </row>
    <row r="11" spans="2:6">
      <c r="B11" s="159" t="s">
        <v>340</v>
      </c>
      <c r="C11" s="162"/>
      <c r="D11" s="171">
        <f>Sheet1!I111</f>
        <v>0</v>
      </c>
      <c r="E11" s="169" t="n">
        <v>18</v>
      </c>
      <c r="F11" s="185">
        <f>D11*E11/100</f>
        <v>0</v>
      </c>
    </row>
    <row r="12" spans="2:6">
      <c r="B12" s="160" t="s">
        <v>341</v>
      </c>
      <c r="C12" s="161"/>
      <c r="D12" s="170">
        <f>Sheet1!H111</f>
        <v>4905.09000000000015</v>
      </c>
      <c r="E12" s="168" t="n">
        <v>18</v>
      </c>
      <c r="F12" s="170">
        <f>D12*E12/100</f>
        <v>882.916200000000003</v>
      </c>
    </row>
    <row r="13" spans="2:6">
      <c r="B13" s="159" t="s">
        <v>342</v>
      </c>
      <c r="C13" s="162"/>
      <c r="D13" s="170">
        <f>Sheet1!J111</f>
        <v>0</v>
      </c>
      <c r="E13" s="169" t="n">
        <v>18</v>
      </c>
      <c r="F13" s="170">
        <f>D13*E13/100</f>
        <v>0</v>
      </c>
    </row>
    <row r="14" spans="2:6">
      <c r="B14" s="160" t="s">
        <v>343</v>
      </c>
      <c r="C14" s="161"/>
      <c r="D14" s="161" t="n">
        <v>0</v>
      </c>
      <c r="E14" s="168" t="n">
        <v>0</v>
      </c>
      <c r="F14" s="170">
        <f>D14*E14/100</f>
        <v>0</v>
      </c>
    </row>
    <row r="15" spans="2:6">
      <c r="B15" s="159" t="s">
        <v>344</v>
      </c>
      <c r="C15" s="162"/>
      <c r="D15" s="171">
        <f>-Sheet1!G144</f>
        <v>-1000</v>
      </c>
      <c r="E15" s="169" t="n">
        <v>18</v>
      </c>
      <c r="F15" s="170">
        <f>D15*E15/100</f>
        <v>-180</v>
      </c>
    </row>
    <row r="16" spans="2:6">
      <c r="B16" s="160" t="s">
        <v>345</v>
      </c>
      <c r="C16" s="161"/>
      <c r="D16" s="170">
        <f>-Sheet1!G147</f>
        <v>-100</v>
      </c>
      <c r="E16" s="168" t="n">
        <v>18</v>
      </c>
      <c r="F16" s="170">
        <f>D16*E16/100</f>
        <v>-18</v>
      </c>
    </row>
    <row r="17" spans="2:6">
      <c r="B17" s="159"/>
      <c r="C17" s="162" t="s">
        <v>346</v>
      </c>
      <c r="D17" s="171">
        <f>D8+D9+D10+D11+D12+D13+D14+D15+D16</f>
        <v>16975.0900000000001</v>
      </c>
      <c r="E17" s="162"/>
      <c r="F17" s="185" t="n">
        <v>0</v>
      </c>
    </row>
    <row r="18" spans="2:6">
      <c r="B18" s="160"/>
      <c r="C18" s="161" t="s">
        <v>347</v>
      </c>
      <c r="D18" s="161" t="n">
        <v>180</v>
      </c>
      <c r="E18" s="161"/>
      <c r="F18" s="178"/>
    </row>
    <row r="19" spans="2:6">
      <c r="B19" s="159"/>
      <c r="C19" s="162" t="s">
        <v>348</v>
      </c>
      <c r="D19" s="162" t="n">
        <v>18</v>
      </c>
      <c r="E19" s="162"/>
      <c r="F19" s="185"/>
    </row>
    <row r="20" spans="2:6">
      <c r="B20" s="160"/>
      <c r="C20" s="163" t="s">
        <v>349</v>
      </c>
      <c r="D20" s="182">
        <f>D17+D18+D19</f>
        <v>17173.0900000000001</v>
      </c>
      <c r="E20" s="161"/>
      <c r="F20" s="178" t="n">
        <v>0</v>
      </c>
    </row>
    <row r="21" spans="2:6" ht="30" customHeight="1">
      <c r="B21" s="175" t="s">
        <v>350</v>
      </c>
      <c r="C21" s="162"/>
      <c r="D21" s="162"/>
      <c r="E21" s="162"/>
      <c r="F21" s="185">
        <f>SUM(F8:F20)</f>
        <v>3055.51620000000003</v>
      </c>
    </row>
    <row r="22" spans="2:6">
      <c r="B22" s="160"/>
      <c r="C22" s="184" t="s">
        <v>351</v>
      </c>
      <c r="D22" s="161"/>
      <c r="E22" s="161"/>
      <c r="F22" s="183" t="s">
        <v>352</v>
      </c>
    </row>
    <row r="23" spans="2:6">
      <c r="B23" s="159"/>
      <c r="C23" s="176">
        <f>D20</f>
        <v>17173.0900000000001</v>
      </c>
      <c r="D23" s="177"/>
      <c r="E23" s="177"/>
      <c r="F23" s="186">
        <f>F21</f>
        <v>3055.51620000000003</v>
      </c>
    </row>
    <row r="24" spans="2:6">
      <c r="B24" s="160" t="s">
        <v>353</v>
      </c>
      <c r="C24" s="164"/>
      <c r="D24" s="164"/>
      <c r="E24" s="179" t="s">
        <v>354</v>
      </c>
      <c r="F24" s="178">
        <f>C23</f>
        <v>17173.0900000000001</v>
      </c>
    </row>
    <row r="25" spans="2:6">
      <c r="B25" s="165" t="s">
        <v>350</v>
      </c>
      <c r="C25" s="164"/>
      <c r="D25" s="164"/>
      <c r="E25" s="179" t="s">
        <v>354</v>
      </c>
      <c r="F25" s="178">
        <f>F23</f>
        <v>3055.51620000000003</v>
      </c>
    </row>
    <row r="26" spans="2:6">
      <c r="B26" s="153" t="s">
        <v>355</v>
      </c>
      <c r="C26" s="154"/>
      <c r="D26" s="154"/>
      <c r="E26" s="180" t="s">
        <v>354</v>
      </c>
      <c r="F26" s="181">
        <f>F24+F25</f>
        <v>20228.606200000002</v>
      </c>
    </row>
  </sheetData>
  <mergeCells count="1">
    <mergeCell ref="B5:F5"/>
  </mergeCells>
  <printOptions horizontalCentered="1">
    <extLst>
      <ext uri="smNativeData">
        <pm:pageFlags xmlns:pm="smNativeData" id="19799" printRowHead="0" printColHead="0" printHeadLine="0" printFootLine="0" autoHeightHeader="0" autoHeightFooter="0" fitToPageBoth="0"/>
      </ext>
    </extLst>
  </printOptions>
  <pageMargins left="0.450000" right="0.450000" top="0.750000" bottom="0.75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7.xml><?xml version="1.0" encoding="utf-8"?>
<worksheet xmlns="http://schemas.openxmlformats.org/spreadsheetml/2006/main" xmlns:r="http://schemas.openxmlformats.org/officeDocument/2006/relationships" xmlns:mc="http://schemas.openxmlformats.org/markup-compatibility/2006">
  <dimension ref="B2:K74"/>
  <sheetViews>
    <sheetView view="normal" workbookViewId="0">
      <selection activeCell="G27" sqref="G27"/>
    </sheetView>
  </sheetViews>
  <sheetFormatPr defaultRowHeight="12.35"/>
  <cols>
    <col min="1" max="1" width="5.000000" customWidth="1"/>
    <col min="2" max="2" width="5.833333" customWidth="1"/>
    <col min="3" max="5" width="9.333333" customWidth="1"/>
    <col min="6" max="6" width="13.333333" customWidth="1"/>
    <col min="7" max="7" width="16.166667" customWidth="1"/>
    <col min="8" max="8" width="9.333333" customWidth="1"/>
    <col min="9" max="9" width="12.333333" customWidth="1"/>
    <col min="10" max="10" width="9.333333" customWidth="1"/>
    <col min="11" max="11" width="11.333333" customWidth="1"/>
    <col min="12" max="257" width="9.333333" customWidth="1"/>
  </cols>
  <sheetData>
    <row r="2" spans="2:11">
      <c r="B2" s="51" t="s">
        <v>0</v>
      </c>
      <c r="C2" s="1"/>
      <c r="D2" s="1"/>
      <c r="E2" s="1"/>
      <c r="F2" s="1"/>
      <c r="G2" s="1"/>
      <c r="H2" s="1"/>
      <c r="I2" s="1" t="s">
        <v>1</v>
      </c>
      <c r="J2" s="1"/>
      <c r="K2" s="1"/>
    </row>
    <row r="3" spans="2:11">
      <c r="B3" s="1" t="s">
        <v>2</v>
      </c>
      <c r="C3" s="3"/>
      <c r="D3" s="1"/>
      <c r="E3" s="1"/>
      <c r="F3" s="1"/>
      <c r="G3" s="1"/>
      <c r="H3" s="1"/>
      <c r="I3" s="1" t="s">
        <v>3</v>
      </c>
      <c r="J3" s="1"/>
      <c r="K3" s="1"/>
    </row>
    <row r="4" spans="2:11">
      <c r="B4" s="1" t="s">
        <v>4</v>
      </c>
      <c r="C4" s="1"/>
      <c r="D4" s="1"/>
      <c r="E4" s="1"/>
      <c r="F4" s="1"/>
      <c r="G4" s="1"/>
      <c r="H4" s="3"/>
      <c r="I4" s="1" t="s">
        <v>5</v>
      </c>
      <c r="J4" s="1"/>
      <c r="K4" s="1"/>
    </row>
    <row r="5" spans="2:11">
      <c r="B5" s="6" t="s">
        <v>6</v>
      </c>
      <c r="C5" s="6"/>
      <c r="D5" s="6"/>
      <c r="E5" s="6"/>
      <c r="F5" s="6"/>
      <c r="G5" s="6"/>
      <c r="H5" s="6"/>
      <c r="I5" s="6" t="s">
        <v>7</v>
      </c>
      <c r="J5" s="6"/>
      <c r="K5" s="6"/>
    </row>
    <row r="6" spans="2:11" ht="2.25" customHeight="1">
      <c r="B6" s="50"/>
      <c r="C6" s="50"/>
      <c r="D6" s="50"/>
      <c r="E6" s="50"/>
      <c r="F6" s="50"/>
      <c r="G6" s="50"/>
      <c r="H6" s="50"/>
      <c r="I6" s="50"/>
      <c r="J6" s="50"/>
      <c r="K6" s="50"/>
    </row>
    <row r="7" spans="2:11">
      <c r="B7" s="1"/>
      <c r="C7" s="1"/>
      <c r="D7" s="1"/>
      <c r="E7" s="1"/>
      <c r="F7" s="1"/>
      <c r="G7" s="1"/>
      <c r="H7" s="1"/>
      <c r="I7" s="1"/>
      <c r="J7" s="1"/>
      <c r="K7" s="1"/>
    </row>
    <row r="8" spans="2:11">
      <c r="B8" s="3" t="s">
        <v>8</v>
      </c>
      <c r="C8" s="1" t="s">
        <v>356</v>
      </c>
      <c r="D8" s="1"/>
      <c r="E8" s="1"/>
      <c r="F8" s="1"/>
      <c r="G8" s="1"/>
      <c r="H8" s="1"/>
      <c r="I8" s="1"/>
      <c r="J8" s="8" t="s">
        <v>10</v>
      </c>
      <c r="K8" s="16" t="s">
        <v>357</v>
      </c>
    </row>
    <row r="9" spans="2:11">
      <c r="B9" s="3"/>
      <c r="C9" s="1"/>
      <c r="D9" s="1"/>
      <c r="E9" s="1"/>
      <c r="F9" s="1"/>
      <c r="G9" s="1"/>
      <c r="H9" s="1"/>
      <c r="I9" s="1"/>
      <c r="J9" s="8"/>
      <c r="K9" s="9"/>
    </row>
    <row r="10" spans="2:11">
      <c r="B10" s="10" t="s">
        <v>358</v>
      </c>
      <c r="C10" s="1"/>
      <c r="D10" s="1"/>
      <c r="E10" s="1"/>
      <c r="F10" s="1"/>
      <c r="G10" s="1"/>
      <c r="H10" s="1"/>
      <c r="I10" s="1"/>
      <c r="J10" s="1"/>
      <c r="K10" s="1"/>
    </row>
    <row r="11" spans="2:11" ht="30" customHeight="1">
      <c r="B11" s="17" t="s">
        <v>359</v>
      </c>
      <c r="C11" s="17"/>
      <c r="D11" s="17"/>
      <c r="E11" s="17"/>
      <c r="F11" s="17"/>
      <c r="G11" s="17"/>
      <c r="H11" s="17"/>
      <c r="I11" s="17"/>
      <c r="J11" s="17"/>
      <c r="K11" s="17"/>
    </row>
    <row r="13" spans="2:11">
      <c r="B13" s="193" t="s">
        <v>360</v>
      </c>
      <c r="C13" s="194"/>
      <c r="D13" s="194"/>
      <c r="E13" s="194"/>
      <c r="F13" s="194"/>
      <c r="G13" s="194"/>
      <c r="H13" s="194"/>
      <c r="I13" s="194"/>
      <c r="J13" s="194"/>
      <c r="K13" s="1"/>
    </row>
    <row r="14" spans="2:11" ht="12.75" customHeight="1">
      <c r="B14" s="1" t="s">
        <v>361</v>
      </c>
      <c r="C14" s="194"/>
      <c r="D14" s="194"/>
      <c r="E14" s="194"/>
      <c r="F14" s="194"/>
      <c r="G14" s="194"/>
      <c r="H14" s="194"/>
      <c r="I14" s="194"/>
      <c r="J14" s="194"/>
      <c r="K14" s="1"/>
    </row>
    <row r="15" spans="2:11">
      <c r="B15" s="1" t="s">
        <v>362</v>
      </c>
      <c r="C15" s="194"/>
      <c r="D15" s="194"/>
      <c r="E15" s="194"/>
      <c r="F15" s="194"/>
      <c r="G15" s="194"/>
      <c r="H15" s="194"/>
      <c r="I15" s="194"/>
      <c r="J15" s="194"/>
      <c r="K15" s="1"/>
    </row>
    <row r="16" spans="2:11">
      <c r="B16" s="1"/>
      <c r="C16" s="1"/>
      <c r="D16" s="1"/>
      <c r="E16" s="1"/>
      <c r="F16" s="1"/>
      <c r="G16" s="1"/>
      <c r="H16" s="1"/>
      <c r="I16" s="1"/>
      <c r="J16" s="1"/>
      <c r="K16" s="1"/>
    </row>
    <row r="17" spans="2:11">
      <c r="B17" s="1" t="s">
        <v>363</v>
      </c>
      <c r="C17" s="1" t="s">
        <v>364</v>
      </c>
      <c r="D17" s="3"/>
      <c r="E17" s="3" t="s">
        <v>365</v>
      </c>
      <c r="F17" s="1"/>
      <c r="G17" s="1"/>
      <c r="H17" s="1"/>
      <c r="I17" s="1"/>
      <c r="J17" s="1"/>
      <c r="K17" s="1"/>
    </row>
    <row r="18" spans="2:11">
      <c r="B18" s="1"/>
      <c r="C18" s="1" t="s">
        <v>366</v>
      </c>
      <c r="D18" s="1" t="s">
        <v>367</v>
      </c>
      <c r="E18" s="3"/>
      <c r="F18" s="1"/>
      <c r="G18" s="1"/>
      <c r="H18" s="1" t="s">
        <v>368</v>
      </c>
      <c r="I18" s="1"/>
      <c r="J18" s="1" t="s">
        <v>369</v>
      </c>
      <c r="K18" s="1"/>
    </row>
    <row r="19" spans="2:11">
      <c r="B19" s="1"/>
      <c r="C19" s="1" t="s">
        <v>370</v>
      </c>
      <c r="D19" s="11" t="s">
        <v>371</v>
      </c>
      <c r="E19" s="1"/>
      <c r="F19" s="1"/>
      <c r="G19" s="8" t="s">
        <v>27</v>
      </c>
      <c r="H19" s="1" t="s">
        <v>372</v>
      </c>
      <c r="I19" s="1"/>
      <c r="J19" s="1"/>
      <c r="K19" s="1"/>
    </row>
    <row r="20" spans="2:11">
      <c r="B20" s="1"/>
      <c r="C20" s="1"/>
      <c r="D20" s="1"/>
      <c r="E20" s="1"/>
      <c r="F20" s="1"/>
      <c r="G20" s="1"/>
      <c r="H20" s="1"/>
      <c r="I20" s="1"/>
      <c r="J20" s="1"/>
      <c r="K20" s="1"/>
    </row>
    <row r="21" spans="2:11">
      <c r="B21" s="1" t="s">
        <v>373</v>
      </c>
      <c r="C21" s="1"/>
      <c r="D21" s="1"/>
      <c r="E21" s="1"/>
      <c r="F21" s="1"/>
      <c r="G21" s="1"/>
      <c r="H21" s="1"/>
      <c r="I21" s="1"/>
      <c r="J21" s="1"/>
      <c r="K21" s="1"/>
    </row>
    <row r="22" spans="2:11" ht="41.25" customHeight="1">
      <c r="B22" s="17" t="s">
        <v>374</v>
      </c>
      <c r="C22" s="17"/>
      <c r="D22" s="17"/>
      <c r="E22" s="17"/>
      <c r="F22" s="17"/>
      <c r="G22" s="17"/>
      <c r="H22" s="17"/>
      <c r="I22" s="17"/>
      <c r="J22" s="17"/>
      <c r="K22" s="1"/>
    </row>
    <row r="23" spans="2:11">
      <c r="B23" s="1"/>
      <c r="C23" s="1"/>
      <c r="D23" s="1"/>
      <c r="E23" s="1"/>
      <c r="F23" s="1"/>
      <c r="G23" s="1"/>
      <c r="H23" s="1"/>
      <c r="I23" s="1"/>
      <c r="J23" s="1"/>
      <c r="K23" s="1"/>
    </row>
    <row r="24" spans="2:11">
      <c r="B24" s="3" t="s">
        <v>375</v>
      </c>
      <c r="C24" s="1"/>
      <c r="D24" s="1"/>
      <c r="E24" s="1"/>
      <c r="F24" s="1"/>
      <c r="G24" s="1"/>
      <c r="H24" s="1"/>
      <c r="I24" s="1"/>
      <c r="J24" s="1"/>
      <c r="K24" s="1"/>
    </row>
    <row r="25" spans="2:11">
      <c r="B25" s="1"/>
      <c r="C25" s="1"/>
      <c r="D25" s="1"/>
      <c r="E25" s="1"/>
      <c r="F25" s="1"/>
      <c r="G25" s="1"/>
      <c r="H25" s="1"/>
      <c r="I25" s="1"/>
      <c r="J25" s="1"/>
      <c r="K25" s="1"/>
    </row>
    <row r="26" spans="2:11">
      <c r="B26" s="11" t="n">
        <v>1</v>
      </c>
      <c r="C26" s="1" t="s">
        <v>376</v>
      </c>
      <c r="D26" s="1"/>
      <c r="E26" s="1"/>
      <c r="F26" s="1"/>
      <c r="G26" s="1"/>
      <c r="H26" s="1"/>
      <c r="I26" s="1"/>
      <c r="J26" s="1"/>
      <c r="K26" s="1"/>
    </row>
    <row r="27" spans="2:11">
      <c r="B27" s="1"/>
      <c r="C27" s="1" t="s">
        <v>377</v>
      </c>
      <c r="D27" s="1"/>
      <c r="E27" s="1"/>
      <c r="F27" s="1"/>
      <c r="G27" s="1"/>
      <c r="H27" s="1"/>
      <c r="I27" s="1"/>
      <c r="J27" s="1"/>
      <c r="K27" s="1"/>
    </row>
    <row r="28" spans="2:11">
      <c r="B28" s="1"/>
      <c r="C28" s="1"/>
      <c r="D28" s="1"/>
      <c r="E28" s="1"/>
      <c r="F28" s="1"/>
      <c r="G28" s="1"/>
      <c r="H28" s="1"/>
      <c r="I28" s="1"/>
      <c r="J28" s="1"/>
      <c r="K28" s="1"/>
    </row>
    <row r="29" spans="2:11">
      <c r="B29" s="71" t="s">
        <v>143</v>
      </c>
      <c r="C29" s="72" t="s">
        <v>378</v>
      </c>
      <c r="D29" s="72"/>
      <c r="E29" s="72"/>
      <c r="F29" s="195" t="s">
        <v>278</v>
      </c>
      <c r="G29" s="196" t="s">
        <v>379</v>
      </c>
      <c r="H29" s="1"/>
      <c r="I29" s="1"/>
      <c r="J29" s="1"/>
      <c r="K29" s="1"/>
    </row>
    <row r="30" spans="2:11">
      <c r="B30" s="103" t="n">
        <v>1</v>
      </c>
      <c r="C30" s="1" t="s">
        <v>380</v>
      </c>
      <c r="D30" s="1"/>
      <c r="E30" s="4"/>
      <c r="F30" s="26" t="s">
        <v>381</v>
      </c>
      <c r="G30" s="26" t="s">
        <v>382</v>
      </c>
      <c r="H30" s="197"/>
      <c r="I30" s="1"/>
      <c r="J30" s="1"/>
      <c r="K30" s="1"/>
    </row>
    <row r="31" spans="2:11">
      <c r="B31" s="198" t="n">
        <v>2</v>
      </c>
      <c r="C31" s="20" t="s">
        <v>383</v>
      </c>
      <c r="D31" s="20"/>
      <c r="E31" s="22"/>
      <c r="F31" s="61" t="s">
        <v>381</v>
      </c>
      <c r="G31" s="61" t="s">
        <v>382</v>
      </c>
      <c r="H31" s="197"/>
      <c r="I31" s="1"/>
      <c r="J31" s="1"/>
      <c r="K31" s="1"/>
    </row>
    <row r="32" spans="2:11">
      <c r="B32" s="76" t="n">
        <v>3</v>
      </c>
      <c r="C32" s="1" t="s">
        <v>384</v>
      </c>
      <c r="D32" s="1"/>
      <c r="E32" s="4"/>
      <c r="F32" s="26" t="s">
        <v>381</v>
      </c>
      <c r="G32" s="26" t="s">
        <v>382</v>
      </c>
      <c r="H32" s="197"/>
      <c r="I32" s="1"/>
      <c r="J32" s="1"/>
      <c r="K32" s="1"/>
    </row>
    <row r="33" spans="2:11">
      <c r="B33" s="198" t="n">
        <v>4</v>
      </c>
      <c r="C33" s="20" t="s">
        <v>385</v>
      </c>
      <c r="D33" s="20"/>
      <c r="E33" s="22"/>
      <c r="F33" s="61" t="s">
        <v>381</v>
      </c>
      <c r="G33" s="61" t="s">
        <v>382</v>
      </c>
      <c r="H33" s="197"/>
      <c r="I33" s="1"/>
      <c r="J33" s="1"/>
      <c r="K33" s="1"/>
    </row>
    <row r="34" spans="2:11">
      <c r="B34" s="76" t="n">
        <v>5</v>
      </c>
      <c r="C34" s="1" t="s">
        <v>386</v>
      </c>
      <c r="D34" s="1"/>
      <c r="E34" s="4"/>
      <c r="F34" s="26" t="s">
        <v>381</v>
      </c>
      <c r="G34" s="26" t="s">
        <v>382</v>
      </c>
      <c r="H34" s="197"/>
      <c r="I34" s="1"/>
      <c r="J34" s="1"/>
      <c r="K34" s="1"/>
    </row>
    <row r="35" spans="2:11">
      <c r="B35" s="198" t="n">
        <v>6</v>
      </c>
      <c r="C35" s="20" t="s">
        <v>387</v>
      </c>
      <c r="D35" s="20"/>
      <c r="E35" s="22"/>
      <c r="F35" s="61" t="s">
        <v>381</v>
      </c>
      <c r="G35" s="61" t="s">
        <v>382</v>
      </c>
      <c r="H35" s="197"/>
      <c r="I35" s="1"/>
      <c r="J35" s="1"/>
      <c r="K35" s="1"/>
    </row>
    <row r="36" spans="2:11">
      <c r="B36" s="76" t="n">
        <v>8</v>
      </c>
      <c r="C36" s="1" t="s">
        <v>388</v>
      </c>
      <c r="D36" s="1"/>
      <c r="E36" s="4"/>
      <c r="F36" s="26" t="s">
        <v>381</v>
      </c>
      <c r="G36" s="29" t="s">
        <v>382</v>
      </c>
      <c r="H36" s="197"/>
      <c r="I36" s="1"/>
      <c r="J36" s="1"/>
      <c r="K36" s="1"/>
    </row>
    <row r="37" spans="2:11">
      <c r="B37" s="198" t="n">
        <v>9</v>
      </c>
      <c r="C37" s="20" t="s">
        <v>389</v>
      </c>
      <c r="D37" s="20"/>
      <c r="E37" s="22"/>
      <c r="F37" s="61" t="s">
        <v>381</v>
      </c>
      <c r="G37" s="61" t="s">
        <v>382</v>
      </c>
      <c r="H37" s="197"/>
      <c r="I37" s="1"/>
      <c r="J37" s="1"/>
      <c r="K37" s="1"/>
    </row>
    <row r="38" spans="2:11">
      <c r="B38" s="13"/>
      <c r="C38" s="1"/>
      <c r="D38" s="1"/>
      <c r="E38" s="1"/>
      <c r="F38" s="1"/>
      <c r="G38" s="1"/>
      <c r="H38" s="1"/>
      <c r="I38" s="1"/>
      <c r="J38" s="1"/>
      <c r="K38" s="1"/>
    </row>
    <row r="39" spans="2:11">
      <c r="B39" s="11" t="n">
        <v>2</v>
      </c>
      <c r="C39" s="3" t="s">
        <v>390</v>
      </c>
      <c r="D39" s="1"/>
      <c r="E39" s="1"/>
      <c r="F39" s="197"/>
      <c r="G39" s="197"/>
      <c r="H39" s="32"/>
      <c r="I39" s="32"/>
      <c r="J39" s="1"/>
      <c r="K39" s="1"/>
    </row>
    <row r="40" spans="2:11">
      <c r="B40" s="13"/>
      <c r="C40" s="1" t="s">
        <v>391</v>
      </c>
      <c r="D40" s="1"/>
      <c r="E40" s="1"/>
      <c r="F40" s="32"/>
      <c r="G40" s="199"/>
      <c r="H40" s="32"/>
      <c r="I40" s="32"/>
      <c r="J40" s="1"/>
      <c r="K40" s="1"/>
    </row>
    <row r="41" spans="2:11">
      <c r="B41" s="17"/>
      <c r="C41" s="17"/>
      <c r="D41" s="17"/>
      <c r="E41" s="17"/>
      <c r="F41" s="17"/>
      <c r="G41" s="17"/>
      <c r="H41" s="17"/>
      <c r="I41" s="17"/>
      <c r="J41" s="17"/>
      <c r="K41" s="1"/>
    </row>
    <row r="42" spans="2:11">
      <c r="B42" s="11" t="n">
        <v>3</v>
      </c>
      <c r="C42" s="3" t="s">
        <v>392</v>
      </c>
      <c r="D42" s="1"/>
      <c r="E42" s="1"/>
      <c r="F42" s="32"/>
      <c r="G42" s="199"/>
      <c r="H42" s="32"/>
      <c r="I42" s="32"/>
      <c r="J42" s="1"/>
      <c r="K42" s="1"/>
    </row>
    <row r="43" spans="2:11">
      <c r="B43" s="13"/>
      <c r="C43" s="1" t="s">
        <v>393</v>
      </c>
      <c r="D43" s="1"/>
      <c r="E43" s="1"/>
      <c r="F43" s="32"/>
      <c r="G43" s="199"/>
      <c r="H43" s="32"/>
      <c r="I43" s="32"/>
      <c r="J43" s="1"/>
      <c r="K43" s="1"/>
    </row>
    <row r="44" spans="2:11">
      <c r="B44" s="1"/>
      <c r="C44" s="1" t="s">
        <v>394</v>
      </c>
      <c r="D44" s="1"/>
      <c r="E44" s="1"/>
      <c r="F44" s="1"/>
      <c r="G44" s="1"/>
      <c r="H44" s="197"/>
      <c r="I44" s="1"/>
      <c r="J44" s="1"/>
      <c r="K44" s="1"/>
    </row>
    <row r="45" spans="2:11">
      <c r="B45" s="18"/>
      <c r="C45" s="18"/>
      <c r="D45" s="18"/>
      <c r="E45" s="18"/>
      <c r="F45" s="18"/>
      <c r="G45" s="18"/>
      <c r="H45" s="18"/>
      <c r="I45" s="18"/>
      <c r="J45" s="18"/>
      <c r="K45" s="1"/>
    </row>
    <row r="46" spans="2:11">
      <c r="B46" s="200" t="n">
        <v>4</v>
      </c>
      <c r="C46" s="227" t="s">
        <v>278</v>
      </c>
      <c r="D46" s="227"/>
      <c r="E46" s="17"/>
      <c r="F46" s="17"/>
      <c r="G46" s="17"/>
      <c r="H46" s="17"/>
      <c r="I46" s="17"/>
      <c r="J46" s="17"/>
      <c r="K46" s="1"/>
    </row>
    <row r="47" spans="2:11" ht="32.25" customHeight="1">
      <c r="B47" s="18"/>
      <c r="C47" s="17" t="s">
        <v>395</v>
      </c>
      <c r="D47" s="17"/>
      <c r="E47" s="17"/>
      <c r="F47" s="17"/>
      <c r="G47" s="17"/>
      <c r="H47" s="17"/>
      <c r="I47" s="17"/>
      <c r="J47" s="17"/>
      <c r="K47" s="1"/>
    </row>
    <row r="48" spans="2:11">
      <c r="B48" s="18"/>
      <c r="C48" s="18"/>
      <c r="D48" s="18"/>
      <c r="E48" s="18"/>
      <c r="F48" s="18"/>
      <c r="G48" s="18"/>
      <c r="H48" s="18"/>
      <c r="I48" s="18"/>
      <c r="J48" s="18"/>
      <c r="K48" s="1"/>
    </row>
    <row r="49" spans="2:11">
      <c r="B49" s="17" t="s">
        <v>396</v>
      </c>
      <c r="C49" s="17"/>
      <c r="D49" s="17"/>
      <c r="E49" s="17"/>
      <c r="F49" s="17"/>
      <c r="G49" s="17"/>
      <c r="H49" s="18"/>
      <c r="I49" s="18"/>
      <c r="J49" s="18"/>
      <c r="K49" s="1"/>
    </row>
    <row r="50" spans="2:11">
      <c r="B50" s="3"/>
      <c r="C50" s="1"/>
      <c r="D50" s="1"/>
      <c r="E50" s="1"/>
      <c r="F50" s="1"/>
      <c r="G50" s="1"/>
      <c r="H50" s="1"/>
      <c r="I50" s="1"/>
      <c r="J50" s="1"/>
      <c r="K50" s="1"/>
    </row>
    <row r="51" spans="2:11">
      <c r="B51" s="1" t="s">
        <v>397</v>
      </c>
      <c r="C51" s="1"/>
      <c r="D51" s="1"/>
      <c r="E51" s="1"/>
      <c r="F51" s="1"/>
      <c r="G51" s="1"/>
      <c r="H51" s="1"/>
      <c r="I51" s="1"/>
      <c r="J51" s="1"/>
      <c r="K51" s="1"/>
    </row>
    <row r="52" spans="2:11">
      <c r="B52" s="3"/>
      <c r="C52" s="1"/>
      <c r="D52" s="1"/>
      <c r="E52" s="1"/>
      <c r="F52" s="1"/>
      <c r="G52" s="1"/>
      <c r="H52" s="1"/>
      <c r="I52" s="1"/>
      <c r="J52" s="1"/>
      <c r="K52" s="1"/>
    </row>
    <row r="53" spans="2:11">
      <c r="B53" s="3"/>
      <c r="C53" s="1"/>
      <c r="D53" s="1"/>
      <c r="E53" s="1"/>
      <c r="F53" s="1"/>
      <c r="G53" s="1"/>
      <c r="H53" s="1"/>
      <c r="I53" s="1"/>
      <c r="J53" s="1"/>
      <c r="K53" s="1"/>
    </row>
    <row r="54" spans="2:11">
      <c r="B54" s="1"/>
      <c r="C54" s="1"/>
      <c r="D54" s="1"/>
      <c r="E54" s="1"/>
      <c r="F54" s="1"/>
      <c r="G54" s="1"/>
      <c r="H54" s="1"/>
      <c r="I54" s="1"/>
      <c r="J54" s="1"/>
      <c r="K54" s="1"/>
    </row>
    <row r="55" spans="2:11">
      <c r="B55" s="3" t="s">
        <v>0</v>
      </c>
      <c r="C55" s="1"/>
      <c r="D55" s="1"/>
      <c r="E55" s="1"/>
      <c r="F55" s="1"/>
      <c r="G55" s="1"/>
      <c r="H55" s="1"/>
      <c r="I55" s="1"/>
      <c r="J55" s="1"/>
      <c r="K55" s="1"/>
    </row>
    <row r="56" spans="2:11">
      <c r="B56" s="3"/>
      <c r="C56" s="1"/>
      <c r="D56" s="1"/>
      <c r="E56" s="1"/>
      <c r="F56" s="1"/>
      <c r="G56" s="1"/>
      <c r="H56" s="1"/>
      <c r="I56" s="1"/>
      <c r="J56" s="1"/>
      <c r="K56" s="1"/>
    </row>
    <row r="57" spans="2:11">
      <c r="B57" s="3"/>
      <c r="C57" s="1"/>
      <c r="D57" s="1"/>
      <c r="E57" s="1"/>
      <c r="F57" s="1"/>
      <c r="G57" s="1"/>
      <c r="H57" s="1"/>
      <c r="I57" s="1"/>
      <c r="J57" s="1"/>
      <c r="K57" s="1"/>
    </row>
    <row r="58" spans="2:11">
      <c r="B58" s="3" t="s">
        <v>398</v>
      </c>
      <c r="C58" s="1"/>
      <c r="D58" s="1"/>
      <c r="E58" s="1"/>
      <c r="F58" s="1"/>
      <c r="G58" s="1"/>
      <c r="H58" s="1"/>
      <c r="I58" s="1"/>
      <c r="J58" s="1"/>
      <c r="K58" s="1"/>
    </row>
    <row r="59" spans="2:11">
      <c r="B59" s="1" t="n">
        <v>1</v>
      </c>
      <c r="C59" s="1" t="s">
        <v>399</v>
      </c>
      <c r="D59" s="1"/>
      <c r="E59" s="1"/>
      <c r="F59" s="1"/>
      <c r="G59" s="1"/>
      <c r="H59" s="1"/>
      <c r="I59" s="1"/>
      <c r="J59" s="1"/>
      <c r="K59" s="1"/>
    </row>
    <row r="60" spans="2:11">
      <c r="B60" s="1" t="n">
        <v>2</v>
      </c>
      <c r="C60" s="1" t="s">
        <v>400</v>
      </c>
      <c r="D60" s="1"/>
      <c r="E60" s="1"/>
      <c r="F60" s="1"/>
      <c r="G60" s="1"/>
      <c r="H60" s="1"/>
      <c r="I60" s="1"/>
      <c r="J60" s="1"/>
      <c r="K60" s="1"/>
    </row>
    <row r="61" spans="2:11">
      <c r="B61" s="1" t="n">
        <v>3</v>
      </c>
      <c r="C61" s="1" t="s">
        <v>401</v>
      </c>
      <c r="D61" s="1"/>
      <c r="E61" s="1"/>
      <c r="F61" s="1"/>
      <c r="G61" s="1"/>
      <c r="H61" s="1"/>
      <c r="I61" s="1"/>
      <c r="J61" s="1"/>
      <c r="K61" s="1"/>
    </row>
    <row r="62" spans="2:11">
      <c r="B62" s="3"/>
      <c r="C62" s="1"/>
      <c r="D62" s="1"/>
      <c r="E62" s="1"/>
      <c r="F62" s="1"/>
      <c r="G62" s="1"/>
      <c r="H62" s="1"/>
      <c r="I62" s="1"/>
      <c r="J62" s="1"/>
      <c r="K62" s="1"/>
    </row>
    <row r="63" spans="2:11">
      <c r="B63" s="1" t="s">
        <v>402</v>
      </c>
      <c r="C63" s="1"/>
      <c r="D63" s="1"/>
      <c r="E63" s="1"/>
      <c r="F63" s="1"/>
      <c r="G63" s="1"/>
      <c r="H63" s="1"/>
      <c r="I63" s="1"/>
      <c r="J63" s="1"/>
      <c r="K63" s="1"/>
    </row>
    <row r="64" spans="2:11">
      <c r="B64" s="3"/>
      <c r="C64" s="1"/>
      <c r="D64" s="1"/>
      <c r="E64" s="1"/>
      <c r="F64" s="1"/>
      <c r="G64" s="1"/>
      <c r="H64" s="1"/>
      <c r="I64" s="1"/>
      <c r="J64" s="1"/>
      <c r="K64" s="1"/>
    </row>
    <row r="65" spans="2:11">
      <c r="B65" s="1" t="s">
        <v>403</v>
      </c>
      <c r="C65" s="1"/>
      <c r="D65" s="13" t="n">
        <v>13325</v>
      </c>
      <c r="E65" s="13"/>
      <c r="F65" s="1"/>
      <c r="G65" s="13"/>
      <c r="H65" s="1"/>
      <c r="I65" s="1"/>
      <c r="J65" s="1"/>
      <c r="K65" s="1"/>
    </row>
    <row r="66" spans="2:11">
      <c r="B66" s="1" t="s">
        <v>404</v>
      </c>
      <c r="C66" s="1"/>
      <c r="D66" s="13" t="n">
        <v>13366</v>
      </c>
      <c r="E66" s="13"/>
      <c r="F66" s="1"/>
      <c r="G66" s="1"/>
      <c r="H66" s="1"/>
      <c r="I66" s="1"/>
      <c r="J66" s="1"/>
      <c r="K66" s="1"/>
    </row>
    <row r="67" spans="2:11">
      <c r="B67" s="1"/>
      <c r="C67" s="1"/>
      <c r="D67" s="1"/>
      <c r="E67" s="1"/>
      <c r="F67" s="1"/>
      <c r="G67" s="1"/>
      <c r="H67" s="1"/>
      <c r="I67" s="1"/>
      <c r="J67" s="1"/>
      <c r="K67" s="1"/>
    </row>
    <row r="68" spans="2:11">
      <c r="B68" s="1"/>
      <c r="C68" s="1"/>
      <c r="D68" s="1"/>
      <c r="E68" s="1"/>
      <c r="F68" s="1"/>
      <c r="G68" s="1"/>
      <c r="H68" s="1"/>
      <c r="I68" s="1"/>
      <c r="J68" s="1"/>
      <c r="K68" s="1"/>
    </row>
    <row r="69" spans="2:11">
      <c r="B69" s="1"/>
      <c r="C69" s="1"/>
      <c r="D69" s="1"/>
      <c r="E69" s="1"/>
      <c r="F69" s="1"/>
      <c r="G69" s="1"/>
      <c r="H69" s="1"/>
      <c r="I69" s="1"/>
      <c r="J69" s="1"/>
      <c r="K69" s="1"/>
    </row>
    <row r="70" spans="2:11">
      <c r="B70" s="1"/>
      <c r="C70" s="1"/>
      <c r="D70" s="1"/>
      <c r="E70" s="1"/>
      <c r="F70" s="1"/>
      <c r="G70" s="1"/>
      <c r="H70" s="1"/>
      <c r="I70" s="1"/>
      <c r="J70" s="1"/>
      <c r="K70" s="1"/>
    </row>
    <row r="71" spans="2:11">
      <c r="B71" s="1"/>
      <c r="C71" s="1"/>
      <c r="D71" s="1"/>
      <c r="E71" s="1"/>
      <c r="F71" s="1"/>
      <c r="G71" s="1"/>
      <c r="H71" s="1"/>
      <c r="I71" s="1"/>
      <c r="J71" s="1"/>
      <c r="K71" s="1"/>
    </row>
    <row r="72" spans="2:11">
      <c r="B72" s="1"/>
      <c r="C72" s="1"/>
      <c r="D72" s="1"/>
      <c r="E72" s="1"/>
      <c r="F72" s="1"/>
      <c r="G72" s="1"/>
      <c r="H72" s="1"/>
      <c r="I72" s="1"/>
      <c r="J72" s="1"/>
      <c r="K72" s="1"/>
    </row>
    <row r="73" spans="2:11">
      <c r="B73" s="1"/>
      <c r="C73" s="1"/>
      <c r="D73" s="1"/>
      <c r="E73" s="1"/>
      <c r="F73" s="1"/>
      <c r="G73" s="1"/>
      <c r="H73" s="1"/>
      <c r="I73" s="1"/>
      <c r="J73" s="1"/>
      <c r="K73" s="1"/>
    </row>
    <row r="74" spans="2:11">
      <c r="B74" s="1"/>
      <c r="C74" s="1"/>
      <c r="D74" s="1"/>
      <c r="E74" s="1"/>
      <c r="F74" s="1"/>
      <c r="G74" s="1"/>
      <c r="H74" s="1"/>
      <c r="I74" s="1"/>
      <c r="J74" s="1"/>
      <c r="K74" s="1"/>
    </row>
  </sheetData>
  <mergeCells count="7">
    <mergeCell ref="B11:K11"/>
    <mergeCell ref="B22:J22"/>
    <mergeCell ref="C46:D46"/>
    <mergeCell ref="C47:J47"/>
    <mergeCell ref="B49:G49"/>
    <mergeCell ref="D65:E65"/>
    <mergeCell ref="D66:E66"/>
  </mergeCells>
  <printOptions>
    <extLst>
      <ext uri="smNativeData">
        <pm:pageFlags xmlns:pm="smNativeData" id="19799" printRowHead="0" printColHead="0" printHeadLine="0" printFootLine="0" autoHeightHeader="0" autoHeightFooter="0" fitToPageBoth="0"/>
      </ext>
    </extLst>
  </printOptions>
  <pageMargins left="0.699306" right="0.699306" top="0.750000" bottom="0.750000" header="0.300000" footer="0.300000"/>
  <pageSetup paperSize="9"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xl/worksheets/sheet8.xml><?xml version="1.0" encoding="utf-8"?>
<worksheet xmlns="http://schemas.openxmlformats.org/spreadsheetml/2006/main" xmlns:r="http://schemas.openxmlformats.org/officeDocument/2006/relationships" xmlns:mc="http://schemas.openxmlformats.org/markup-compatibility/2006">
  <dimension ref="A3:H58"/>
  <sheetViews>
    <sheetView view="normal" topLeftCell="A25" workbookViewId="0">
      <selection activeCell="F22" sqref="F22"/>
    </sheetView>
  </sheetViews>
  <sheetFormatPr defaultRowHeight="13.45"/>
  <cols>
    <col min="1" max="1" width="4.333333" customWidth="1" style="1"/>
    <col min="2" max="2" width="17.833333" customWidth="1" style="1"/>
    <col min="3" max="3" width="18.166667" customWidth="1" style="1"/>
    <col min="4" max="4" width="14.166667" customWidth="1" style="1"/>
    <col min="5" max="5" width="13.000000" customWidth="1" style="1"/>
    <col min="6" max="6" width="14.000000" customWidth="1" style="1"/>
    <col min="7" max="7" width="26.333333" customWidth="1" style="1"/>
    <col min="8" max="8" width="4.833333" customWidth="1" style="1"/>
    <col min="9" max="9" width="14.500000" customWidth="1" style="1"/>
    <col min="10" max="10" width="15.333333" customWidth="1" style="1"/>
    <col min="11" max="11" width="22.166667" customWidth="1" style="1"/>
    <col min="12" max="12" width="6.500000" customWidth="1" style="1"/>
    <col min="13" max="13" width="11.500000" customWidth="1" style="1"/>
    <col min="14" max="14" width="5.666667" customWidth="1" style="1"/>
    <col min="15" max="15" width="5.500000" customWidth="1" style="1"/>
    <col min="16" max="257" width="9.333333" customWidth="1" style="1"/>
  </cols>
  <sheetData>
    <row r="3" spans="2:7">
      <c r="B3" s="228" t="s">
        <v>405</v>
      </c>
      <c r="C3" s="229"/>
      <c r="D3" s="229"/>
      <c r="E3" s="229"/>
      <c r="F3" s="229"/>
      <c r="G3" s="230"/>
    </row>
    <row r="5" spans="2:6">
      <c r="B5" s="1" t="s">
        <v>406</v>
      </c>
      <c r="E5" s="3" t="s">
        <v>16</v>
      </c>
      <c r="F5" s="1" t="str">
        <f>Sheet1!C8</f>
        <v>SK/2025-26/OICL/116</v>
      </c>
    </row>
    <row r="6" spans="2:6">
      <c r="B6" s="1" t="s">
        <v>407</v>
      </c>
      <c r="E6" s="3" t="s">
        <v>16</v>
      </c>
      <c r="F6" s="13" t="s">
        <v>408</v>
      </c>
    </row>
    <row r="7" spans="2:6">
      <c r="B7" s="1" t="s">
        <v>409</v>
      </c>
      <c r="E7" s="3" t="s">
        <v>16</v>
      </c>
      <c r="F7" s="1" t="str">
        <f>Sheet1!G18</f>
        <v>Mr JAGDEEP KUMAR</v>
      </c>
    </row>
    <row r="8" spans="2:6">
      <c r="B8" s="1" t="s">
        <v>410</v>
      </c>
      <c r="E8" s="3" t="s">
        <v>16</v>
      </c>
      <c r="F8" s="13" t="str">
        <f>Sheet1!G16</f>
        <v>231203/31/2025/7146</v>
      </c>
    </row>
    <row r="9" spans="2:6">
      <c r="B9" s="1" t="s">
        <v>411</v>
      </c>
      <c r="E9" s="3" t="s">
        <v>16</v>
      </c>
      <c r="F9" s="1" t="str">
        <f>Sheet1!K16</f>
        <v>22.03.2025 to 21.03.2026</v>
      </c>
    </row>
    <row r="10" spans="2:6">
      <c r="B10" s="1" t="s">
        <v>412</v>
      </c>
      <c r="E10" s="3" t="s">
        <v>16</v>
      </c>
      <c r="F10" s="3" t="str">
        <f>Sheet1!G25</f>
        <v>HR 20AY 7179</v>
      </c>
    </row>
    <row r="11" spans="2:6">
      <c r="B11" s="1" t="s">
        <v>413</v>
      </c>
      <c r="E11" s="3" t="s">
        <v>16</v>
      </c>
      <c r="F11" s="1" t="str">
        <f>Sheet1!G31</f>
        <v>SKODA KUSHAQ STYLE 1.0 TSI AT/2023</v>
      </c>
    </row>
    <row r="12" spans="1:1" ht="12.75" customHeight="1"/>
    <row r="13" spans="2:2">
      <c r="B13" s="3" t="s">
        <v>414</v>
      </c>
    </row>
    <row r="14" spans="2:7">
      <c r="B14" s="67" t="s">
        <v>415</v>
      </c>
      <c r="C14" s="62"/>
      <c r="D14" s="62"/>
      <c r="E14" s="83" t="s">
        <v>16</v>
      </c>
      <c r="F14" s="62" t="str">
        <f>Sheet1!G52</f>
        <v>13.02.2026 about 9:45 AM</v>
      </c>
      <c r="G14" s="87"/>
    </row>
    <row r="15" spans="2:7">
      <c r="B15" s="201" t="s">
        <v>416</v>
      </c>
      <c r="C15" s="20"/>
      <c r="D15" s="20"/>
      <c r="E15" s="202" t="s">
        <v>16</v>
      </c>
      <c r="F15" s="20" t="str">
        <f>Sheet1!G53</f>
        <v>Sector-34, Chandigarh</v>
      </c>
      <c r="G15" s="22"/>
    </row>
    <row r="16" spans="2:7">
      <c r="B16" s="5" t="s">
        <v>417</v>
      </c>
      <c r="C16" s="6"/>
      <c r="D16" s="6"/>
      <c r="E16" s="47" t="s">
        <v>16</v>
      </c>
      <c r="F16" s="6" t="s">
        <v>418</v>
      </c>
      <c r="G16" s="7"/>
    </row>
    <row r="17" spans="1:1" ht="10.50" customHeight="1"/>
    <row r="18" spans="2:2">
      <c r="B18" s="3" t="s">
        <v>419</v>
      </c>
    </row>
    <row r="19" spans="2:8" ht="28.50" customHeight="1">
      <c r="B19" s="231" t="str">
        <f>Sheet1!C72</f>
        <v>" Insured was going to his office. On the way, another vehicle hit Insured's car from back right side. "</v>
      </c>
      <c r="C19" s="232"/>
      <c r="D19" s="232"/>
      <c r="E19" s="232"/>
      <c r="F19" s="232"/>
      <c r="G19" s="233"/>
      <c r="H19" s="17"/>
    </row>
    <row r="20" spans="1:1" ht="12.75" customHeight="1"/>
    <row r="21" spans="2:2">
      <c r="B21" s="3" t="s">
        <v>420</v>
      </c>
    </row>
    <row r="22" spans="2:7">
      <c r="B22" s="19" t="s">
        <v>421</v>
      </c>
      <c r="C22" s="20"/>
      <c r="D22" s="20"/>
      <c r="E22" s="72" t="s">
        <v>16</v>
      </c>
      <c r="F22" s="20" t="str">
        <f>Sheet1!G42</f>
        <v>Mr JAGDEEP KUMAR</v>
      </c>
      <c r="G22" s="22"/>
    </row>
    <row r="23" spans="2:7">
      <c r="B23" s="19" t="s">
        <v>422</v>
      </c>
      <c r="C23" s="20"/>
      <c r="D23" s="20"/>
      <c r="E23" s="72" t="s">
        <v>16</v>
      </c>
      <c r="F23" s="203" t="str">
        <f>Sheet1!G45</f>
        <v>HR-21/52074</v>
      </c>
      <c r="G23" s="22"/>
    </row>
    <row r="24" spans="2:7">
      <c r="B24" s="5" t="s">
        <v>423</v>
      </c>
      <c r="C24" s="6"/>
      <c r="D24" s="6"/>
      <c r="E24" s="47" t="s">
        <v>16</v>
      </c>
      <c r="F24" s="209" t="str">
        <f>Sheet1!G47</f>
        <v>14.01.2028</v>
      </c>
      <c r="G24" s="7"/>
    </row>
    <row r="25" spans="2:7">
      <c r="B25" s="2" t="s">
        <v>424</v>
      </c>
      <c r="E25" s="3" t="s">
        <v>16</v>
      </c>
      <c r="F25" s="1" t="str">
        <f>Sheet1!G48</f>
        <v>LA-Hansi (NT)</v>
      </c>
      <c r="G25" s="4"/>
    </row>
    <row r="26" spans="2:7">
      <c r="B26" s="19" t="s">
        <v>425</v>
      </c>
      <c r="C26" s="20"/>
      <c r="D26" s="20"/>
      <c r="E26" s="72" t="s">
        <v>16</v>
      </c>
      <c r="F26" s="204" t="str">
        <f>Sheet1!G49</f>
        <v>Permanent for LMV/MCWG only</v>
      </c>
      <c r="G26" s="22"/>
    </row>
    <row r="27" spans="1:1" ht="12.75" customHeight="1"/>
    <row r="28" spans="2:7">
      <c r="B28" s="42" t="s">
        <v>426</v>
      </c>
      <c r="C28" s="20"/>
      <c r="D28" s="20"/>
      <c r="E28" s="20"/>
      <c r="F28" s="85">
        <f>Sheet1!F145</f>
        <v>82255.9355999999971</v>
      </c>
      <c r="G28" s="22"/>
    </row>
    <row r="29" spans="2:2" ht="10.50" customHeight="1">
      <c r="B29" s="3"/>
    </row>
    <row r="30" spans="2:2">
      <c r="B30" s="10" t="s">
        <v>135</v>
      </c>
    </row>
    <row r="31" spans="2:7">
      <c r="B31" s="67" t="s">
        <v>427</v>
      </c>
      <c r="C31" s="62"/>
      <c r="D31" s="62"/>
      <c r="E31" s="62"/>
      <c r="F31" s="68">
        <f>Sheet1!G117</f>
        <v>5788.00619999999981</v>
      </c>
      <c r="G31" s="87"/>
    </row>
    <row r="32" spans="2:7">
      <c r="B32" s="5" t="s">
        <v>428</v>
      </c>
      <c r="C32" s="6"/>
      <c r="D32" s="6"/>
      <c r="E32" s="6"/>
      <c r="F32" s="122"/>
      <c r="G32" s="4"/>
    </row>
    <row r="33" spans="2:7">
      <c r="B33" s="19" t="s">
        <v>429</v>
      </c>
      <c r="C33" s="20"/>
      <c r="D33" s="20"/>
      <c r="E33" s="20"/>
      <c r="F33" s="35" t="n">
        <v>960</v>
      </c>
      <c r="G33" s="4"/>
    </row>
    <row r="34" spans="2:7">
      <c r="B34" s="19" t="s">
        <v>430</v>
      </c>
      <c r="C34" s="20"/>
      <c r="D34" s="20"/>
      <c r="E34" s="20"/>
      <c r="F34" s="35" t="n">
        <v>0</v>
      </c>
      <c r="G34" s="4"/>
    </row>
    <row r="35" spans="2:7">
      <c r="B35" s="2" t="s">
        <v>431</v>
      </c>
      <c r="F35" s="25">
        <f>Sheet1!I128</f>
        <v>11680</v>
      </c>
      <c r="G35" s="4"/>
    </row>
    <row r="36" spans="2:7">
      <c r="B36" s="19" t="s">
        <v>432</v>
      </c>
      <c r="C36" s="20"/>
      <c r="D36" s="20"/>
      <c r="E36" s="20"/>
      <c r="F36" s="35">
        <f>Sheet1!I135</f>
        <v>2370.59999999999991</v>
      </c>
      <c r="G36" s="4"/>
    </row>
    <row r="37" spans="2:7">
      <c r="B37" s="2" t="s">
        <v>433</v>
      </c>
      <c r="F37" s="25" t="n">
        <v>0</v>
      </c>
      <c r="G37" s="63"/>
    </row>
    <row r="38" spans="2:7">
      <c r="B38" s="19" t="s">
        <v>434</v>
      </c>
      <c r="C38" s="20"/>
      <c r="D38" s="20"/>
      <c r="E38" s="20"/>
      <c r="F38" s="35">
        <f>'[1]Sheet1'!G145</f>
        <v>0</v>
      </c>
      <c r="G38" s="63"/>
    </row>
    <row r="39" spans="2:7">
      <c r="B39" s="5" t="s">
        <v>435</v>
      </c>
      <c r="C39" s="6"/>
      <c r="D39" s="6"/>
      <c r="E39" s="6"/>
      <c r="F39" s="31">
        <f>'[1]Sheet1'!G142</f>
        <v>1000</v>
      </c>
      <c r="G39" s="205"/>
    </row>
    <row r="40" spans="2:7">
      <c r="B40" s="5" t="s">
        <v>436</v>
      </c>
      <c r="C40" s="6"/>
      <c r="D40" s="6"/>
      <c r="E40" s="6"/>
      <c r="F40" s="30" t="n">
        <v>0</v>
      </c>
      <c r="G40" s="206"/>
    </row>
    <row r="41" spans="2:7">
      <c r="B41" s="24" t="s">
        <v>437</v>
      </c>
      <c r="C41" s="6"/>
      <c r="D41" s="6"/>
      <c r="E41" s="6"/>
      <c r="F41" s="207">
        <f>Sheet1!G148</f>
        <v>20228.6061999999984</v>
      </c>
      <c r="G41" s="208"/>
    </row>
    <row r="43" spans="2:2">
      <c r="B43" s="3" t="s">
        <v>438</v>
      </c>
    </row>
    <row r="44" spans="2:7">
      <c r="B44" s="67" t="s">
        <v>439</v>
      </c>
      <c r="C44" s="62"/>
      <c r="D44" s="62"/>
      <c r="E44" s="83" t="s">
        <v>16</v>
      </c>
      <c r="F44" s="66" t="n">
        <v>1500</v>
      </c>
      <c r="G44" s="87"/>
    </row>
    <row r="45" spans="2:7">
      <c r="B45" s="19" t="s">
        <v>440</v>
      </c>
      <c r="C45" s="20"/>
      <c r="D45" s="20"/>
      <c r="E45" s="72" t="s">
        <v>16</v>
      </c>
      <c r="F45" s="80">
        <f>500+140</f>
        <v>640</v>
      </c>
      <c r="G45" s="22"/>
    </row>
    <row r="46" spans="2:7">
      <c r="B46" s="2" t="s">
        <v>441</v>
      </c>
      <c r="E46" s="3" t="s">
        <v>16</v>
      </c>
      <c r="F46" s="32" t="n">
        <v>0</v>
      </c>
      <c r="G46" s="4"/>
    </row>
    <row r="47" spans="2:7">
      <c r="B47" s="19" t="s">
        <v>186</v>
      </c>
      <c r="C47" s="20"/>
      <c r="D47" s="20"/>
      <c r="E47" s="20"/>
      <c r="F47" s="85" t="n">
        <v>2140</v>
      </c>
      <c r="G47" s="22"/>
    </row>
    <row r="50" spans="2:2">
      <c r="B50" s="1" t="s">
        <v>442</v>
      </c>
    </row>
    <row r="53" spans="2:7">
      <c r="B53" s="6"/>
      <c r="C53" s="6"/>
      <c r="D53" s="6"/>
      <c r="E53" s="6"/>
      <c r="F53" s="6"/>
      <c r="G53" s="6"/>
    </row>
    <row r="54" spans="2:2">
      <c r="B54" s="10" t="s">
        <v>443</v>
      </c>
    </row>
    <row r="55" spans="2:6">
      <c r="B55" s="1" t="s">
        <v>444</v>
      </c>
      <c r="F55" s="1" t="s">
        <v>445</v>
      </c>
    </row>
    <row r="56" spans="6:6">
      <c r="F56" s="1" t="s">
        <v>446</v>
      </c>
    </row>
    <row r="58" spans="2:6">
      <c r="B58" s="1" t="s">
        <v>447</v>
      </c>
      <c r="F58" s="1" t="s">
        <v>448</v>
      </c>
    </row>
  </sheetData>
  <mergeCells count="2">
    <mergeCell ref="B3:G3"/>
    <mergeCell ref="B19:G19"/>
  </mergeCells>
  <printOptions horizontalCentered="1">
    <extLst>
      <ext uri="smNativeData">
        <pm:pageFlags xmlns:pm="smNativeData" id="19799" printRowHead="0" printColHead="0" printHeadLine="0" printFootLine="0" autoHeightHeader="0" autoHeightFooter="0" fitToPageBoth="0"/>
      </ext>
    </extLst>
  </printOptions>
  <pageMargins left="0.699306" right="0.699306" top="0.500000" bottom="0.500000" header="0.300000" footer="0.300000"/>
  <pageSetup paperSize="1" fitToWidth="1" fitToHeight="1"/>
  <headerFooter>
    <extLst>
      <ext uri="smNativeData">
        <pm:header xmlns:pm="smNativeData" id="19799" l="56" r="56" t="56" b="56" borderId="0" fillId="0" vertical="0"/>
        <pm:footer xmlns:pm="smNativeData" id="19799" l="56" r="56" t="56" b="56" borderId="0" fillId="0" vertical="2"/>
        <pm:paperBin xmlns:pm="smNativeData" id="19799" Id="0" type="0" value="0"/>
        <pm:paperBin xmlns:pm="smNativeData" id="19799" Id="1" type="0" value="0"/>
      </ext>
    </extLst>
  </headerFooter>
  <extLst>
    <ext uri="smNativeData">
      <pm:sheetPrefs xmlns:pm="smNativeData" day="19799"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jaswinder</dc:creator>
  <cp:keywords/>
  <dc:description/>
  <cp:lastModifiedBy>Souradeep Das</cp:lastModifiedBy>
  <cp:revision>0</cp:revision>
  <dcterms:created xsi:type="dcterms:W3CDTF">2026-03-20T23:51:29Z</dcterms:created>
</cp:coreProperties>
</file>
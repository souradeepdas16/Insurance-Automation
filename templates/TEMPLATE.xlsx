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60" windowWidth="8300" windowHeight="6540" tabRatio="600" firstSheet="0" activeTab="0" autoFilterDateGrouping="1"/>
  </bookViews>
  <sheets>
    <sheet name="Sheet1" sheetId="1" state="visible" r:id="rId1"/>
    <sheet name="Sheet2" sheetId="2" state="visible" r:id="rId2"/>
    <sheet name="Sheet5" sheetId="3" state="visible" r:id="rId3"/>
    <sheet name="Sheet3" sheetId="4" state="visible" r:id="rId4"/>
    <sheet name="Sheet4" sheetId="5" state="visible" r:id="rId5"/>
    <sheet name="Sheet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/D/YYYY;@"/>
    <numFmt numFmtId="165" formatCode="[$-409]MMMMM\-YY;@"/>
    <numFmt numFmtId="166" formatCode="MMM-YY"/>
    <numFmt numFmtId="167" formatCode="M/D/YYYY h:mm"/>
    <numFmt numFmtId="168" formatCode="_(&quot;$&quot;* #,##0.00_);_(&quot;$&quot;* \(#,##0.00\);_(&quot;$&quot;* &quot;-&quot;??_);_(@_)"/>
  </numFmts>
  <fonts count="36">
    <font>
      <name val="Times New Roman"/>
      <family val="1"/>
      <color rgb="FF000000"/>
      <sz val="9"/>
    </font>
    <font>
      <name val="Arial"/>
      <family val="2"/>
      <color rgb="FF000000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11"/>
    </font>
    <font>
      <name val="Times New Roman"/>
      <family val="1"/>
      <b val="1"/>
      <color rgb="FF000000"/>
      <sz val="10"/>
      <u val="single"/>
    </font>
    <font>
      <name val="Times New Roman"/>
      <family val="1"/>
      <color rgb="FF0000FF"/>
      <sz val="9"/>
      <u val="single"/>
    </font>
    <font>
      <name val="Times New Roman"/>
      <family val="1"/>
      <color rgb="FF7F007F"/>
      <sz val="9"/>
      <u val="single"/>
    </font>
    <font>
      <name val="Times New Roman"/>
      <family val="1"/>
      <color rgb="FF000000"/>
      <sz val="10"/>
      <u val="single"/>
    </font>
    <font>
      <name val="Times New Roman"/>
      <family val="1"/>
      <b val="1"/>
      <color rgb="FF000000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4"/>
      <u val="single"/>
    </font>
    <font>
      <name val="Times New Roman"/>
      <family val="1"/>
      <b val="1"/>
      <color rgb="FF000000"/>
      <sz val="11"/>
      <u val="single"/>
    </font>
    <font>
      <name val="Times New Roman"/>
      <family val="1"/>
      <b val="1"/>
      <color rgb="FFFFFFFF"/>
      <sz val="11"/>
    </font>
    <font>
      <name val="Times New Roman"/>
      <family val="1"/>
      <color rgb="FFFFFFFF"/>
      <sz val="10"/>
    </font>
    <font>
      <name val="Times New Roman"/>
      <family val="1"/>
      <b val="1"/>
      <color rgb="FF000000"/>
      <sz val="12"/>
      <u val="single"/>
    </font>
    <font>
      <name val="Calibri"/>
      <family val="2"/>
      <color rgb="FF000000"/>
      <sz val="11"/>
    </font>
    <font>
      <name val="Calibri"/>
      <family val="2"/>
      <color rgb="FFFFFFFF"/>
      <sz val="11"/>
    </font>
    <font>
      <name val="Calibri"/>
      <family val="2"/>
      <color rgb="FF7F007F"/>
      <sz val="11"/>
    </font>
    <font>
      <name val="Calibri"/>
      <family val="2"/>
      <b val="1"/>
      <color rgb="FFFF9900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7F7F7F"/>
      <sz val="11"/>
    </font>
    <font>
      <name val="Calibri"/>
      <family val="2"/>
      <color rgb="FF007F00"/>
      <sz val="11"/>
    </font>
    <font>
      <name val="Calibri"/>
      <family val="2"/>
      <b val="1"/>
      <color rgb="FF003366"/>
      <sz val="15"/>
    </font>
    <font>
      <name val="Calibri"/>
      <family val="2"/>
      <b val="1"/>
      <color rgb="FF003366"/>
      <sz val="13"/>
    </font>
    <font>
      <name val="Calibri"/>
      <family val="2"/>
      <b val="1"/>
      <color rgb="FF003366"/>
      <sz val="11"/>
    </font>
    <font>
      <name val="Calibri"/>
      <family val="2"/>
      <color rgb="FF333399"/>
      <sz val="11"/>
    </font>
    <font>
      <name val="Calibri"/>
      <family val="2"/>
      <color rgb="FFFF9900"/>
      <sz val="11"/>
    </font>
    <font>
      <name val="Calibri"/>
      <family val="2"/>
      <color rgb="FF993300"/>
      <sz val="11"/>
    </font>
    <font>
      <name val="Calibri"/>
      <family val="2"/>
      <b val="1"/>
      <color rgb="FF333333"/>
      <sz val="11"/>
    </font>
    <font>
      <name val="Cambria"/>
      <family val="1"/>
      <b val="1"/>
      <color rgb="FF003366"/>
      <sz val="18"/>
    </font>
    <font>
      <name val="Calibri"/>
      <family val="2"/>
      <b val="1"/>
      <color rgb="FF000000"/>
      <sz val="11"/>
    </font>
    <font>
      <name val="Calibri"/>
      <family val="2"/>
      <color rgb="FFFF0000"/>
      <sz val="11"/>
    </font>
    <font>
      <name val="Times New Roman"/>
      <family val="1"/>
      <b val="1"/>
      <color rgb="FF000000"/>
      <sz val="10"/>
    </font>
    <font>
      <name val="Times New Roman"/>
      <family val="1"/>
      <color rgb="FF000000"/>
      <sz val="10"/>
    </font>
    <font>
      <name val="Times New Roman"/>
      <family val="1"/>
      <color rgb="FF000000"/>
      <sz val="8"/>
    </font>
  </fonts>
  <fills count="69">
    <fill>
      <patternFill/>
    </fill>
    <fill>
      <patternFill patternType="gray125"/>
    </fill>
    <fill>
      <patternFill patternType="solid">
        <fgColor rgb="FFCCCCFF"/>
        <bgColor rgb="FFFFFFFF"/>
      </patternFill>
    </fill>
    <fill>
      <patternFill patternType="solid">
        <fgColor rgb="FFFF99CC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FF8080"/>
        <bgColor rgb="FFFFFFFF"/>
      </patternFill>
    </fill>
    <fill>
      <patternFill patternType="solid">
        <fgColor rgb="FF00FF00"/>
        <bgColor rgb="FFFFFFFF"/>
      </patternFill>
    </fill>
    <fill>
      <patternFill patternType="solid">
        <fgColor rgb="FFFFCC00"/>
        <bgColor rgb="FFFFFFFF"/>
      </patternFill>
    </fill>
    <fill>
      <patternFill patternType="solid">
        <fgColor rgb="FF0066CC"/>
        <bgColor rgb="FFFFFFFF"/>
      </patternFill>
    </fill>
    <fill>
      <patternFill patternType="solid">
        <fgColor rgb="FF7F007F"/>
        <bgColor rgb="FFFFFFFF"/>
      </patternFill>
    </fill>
    <fill>
      <patternFill patternType="solid">
        <fgColor rgb="FF33CCCC"/>
        <bgColor rgb="FFFFFFFF"/>
      </patternFill>
    </fill>
    <fill>
      <patternFill patternType="solid">
        <fgColor rgb="FFFF9900"/>
        <bgColor rgb="FFFFFFFF"/>
      </patternFill>
    </fill>
    <fill>
      <patternFill patternType="solid">
        <fgColor rgb="FF33339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339966"/>
        <bgColor rgb="FFFFFFFF"/>
      </patternFill>
    </fill>
    <fill>
      <patternFill patternType="solid">
        <fgColor rgb="FFFF66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999999"/>
        <bgColor rgb="FFFFFFFF"/>
      </patternFill>
    </fill>
    <fill>
      <patternFill/>
    </fill>
    <fill>
      <patternFill/>
    </fill>
    <fill>
      <patternFill/>
    </fill>
    <fill>
      <patternFill patternType="solid">
        <fgColor rgb="FFFFCC99"/>
        <bgColor rgb="FFFFFFFF"/>
      </patternFill>
    </fill>
    <fill>
      <patternFill/>
    </fill>
    <fill>
      <patternFill patternType="solid">
        <fgColor rgb="FFFFFF99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FFFF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7F7F7F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999999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0C0C0"/>
        <bgColor rgb="FFFFFFFF"/>
      </patternFill>
    </fill>
  </fills>
  <borders count="68"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</border>
    <border>
      <left>
        <color rgb="FF000000"/>
      </left>
      <right>
        <color rgb="FF000000"/>
      </right>
      <top>
        <color rgb="FF000000"/>
      </top>
      <bottom style="thick">
        <color rgb="FF333399"/>
      </bottom>
    </border>
    <border>
      <left>
        <color rgb="FF000000"/>
      </left>
      <right>
        <color rgb="FF000000"/>
      </right>
      <top>
        <color rgb="FF000000"/>
      </top>
      <bottom style="thick">
        <color rgb="FFC0C0C0"/>
      </bottom>
    </border>
    <border>
      <left>
        <color rgb="FF000000"/>
      </left>
      <right>
        <color rgb="FF000000"/>
      </right>
      <top>
        <color rgb="FF000000"/>
      </top>
      <bottom style="medium">
        <color rgb="FF0066CC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>
        <color rgb="FF000000"/>
      </left>
      <right>
        <color rgb="FF000000"/>
      </right>
      <top>
        <color rgb="FF000000"/>
      </top>
      <bottom style="double">
        <color rgb="FFFF99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>
        <color rgb="FF000000"/>
      </left>
      <right>
        <color rgb="FF000000"/>
      </right>
      <top style="thin">
        <color rgb="FF333399"/>
      </top>
      <bottom style="double">
        <color rgb="FF333399"/>
      </bottom>
    </border>
    <border>
      <left style="thin"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 style="thin"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>
        <color rgb="FF000000"/>
      </right>
      <top>
        <color rgb="FF000000"/>
      </top>
      <bottom style="thin">
        <color rgb="FF000000"/>
      </bottom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</border>
    <border>
      <left>
        <color rgb="FF000000"/>
      </left>
      <right style="thin">
        <color rgb="FF000000"/>
      </right>
      <top>
        <color rgb="FF000000"/>
      </top>
      <bottom style="thin">
        <color rgb="FF000000"/>
      </bottom>
    </border>
    <border>
      <left style="thin"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</border>
    <border>
      <left>
        <color rgb="FF000000"/>
      </left>
      <right style="thin">
        <color rgb="FF000000"/>
      </right>
      <top style="thin"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>
        <color rgb="FF000000"/>
      </right>
      <top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>
        <color rgb="FF000000"/>
      </left>
      <right>
        <color rgb="FF000000"/>
      </right>
      <top>
        <color rgb="FF000000"/>
      </top>
      <bottom style="medium">
        <color rgb="FF000000"/>
      </bottom>
    </border>
    <border>
      <left>
        <color rgb="FF000000"/>
      </left>
      <right>
        <color rgb="FF000000"/>
      </right>
      <top style="thin">
        <color rgb="FF000000"/>
      </top>
      <bottom>
        <color rgb="FF000000"/>
      </bottom>
    </border>
    <border>
      <left style="thin">
        <color rgb="FF000000"/>
      </left>
      <right>
        <color rgb="FF000000"/>
      </right>
      <top style="thin"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</border>
    <border>
      <left style="medium">
        <color rgb="FF000000"/>
      </left>
      <right>
        <color rgb="FF000000"/>
      </right>
      <top style="medium">
        <color rgb="FF000000"/>
      </top>
      <bottom style="medium">
        <color rgb="FF000000"/>
      </bottom>
    </border>
    <border>
      <left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medium">
        <color rgb="FF000000"/>
      </left>
      <right>
        <color rgb="FF000000"/>
      </right>
      <top style="medium">
        <color rgb="FF000000"/>
      </top>
      <bottom>
        <color rgb="FF000000"/>
      </bottom>
    </border>
    <border>
      <left>
        <color rgb="FF000000"/>
      </left>
      <right>
        <color rgb="FF000000"/>
      </right>
      <top style="medium">
        <color rgb="FF000000"/>
      </top>
      <bottom>
        <color rgb="FF000000"/>
      </bottom>
    </border>
    <border>
      <left>
        <color rgb="FF000000"/>
      </left>
      <right style="medium">
        <color rgb="FF000000"/>
      </right>
      <top style="medium">
        <color rgb="FF000000"/>
      </top>
      <bottom>
        <color rgb="FF000000"/>
      </bottom>
    </border>
    <border>
      <left style="medium"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>
        <color rgb="FF000000"/>
      </left>
      <right style="medium">
        <color rgb="FF000000"/>
      </right>
      <top>
        <color rgb="FF000000"/>
      </top>
      <bottom>
        <color rgb="FF000000"/>
      </bottom>
    </border>
    <border>
      <left style="medium">
        <color rgb="FF000000"/>
      </left>
      <right>
        <color rgb="FF000000"/>
      </right>
      <top>
        <color rgb="FF000000"/>
      </top>
      <bottom style="medium">
        <color rgb="FF000000"/>
      </bottom>
    </border>
    <border>
      <left>
        <color rgb="FF000000"/>
      </left>
      <right>
        <color rgb="FF000000"/>
      </right>
      <top>
        <color rgb="FF000000"/>
      </top>
      <bottom style="medium">
        <color rgb="FF000000"/>
      </bottom>
    </border>
    <border>
      <left>
        <color rgb="FF000000"/>
      </left>
      <right style="medium">
        <color rgb="FF000000"/>
      </right>
      <top>
        <color rgb="FF000000"/>
      </top>
      <bottom style="medium">
        <color rgb="FF000000"/>
      </bottom>
    </border>
    <border>
      <left style="thin"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0" fillId="52" borderId="59"/>
    <xf numFmtId="0" fontId="16" fillId="2" borderId="59"/>
    <xf numFmtId="0" fontId="16" fillId="3" borderId="59"/>
    <xf numFmtId="0" fontId="16" fillId="4" borderId="59"/>
    <xf numFmtId="0" fontId="16" fillId="5" borderId="59"/>
    <xf numFmtId="0" fontId="16" fillId="6" borderId="59"/>
    <xf numFmtId="0" fontId="16" fillId="25" borderId="59"/>
    <xf numFmtId="0" fontId="16" fillId="8" borderId="59"/>
    <xf numFmtId="0" fontId="16" fillId="9" borderId="59"/>
    <xf numFmtId="0" fontId="16" fillId="10" borderId="59"/>
    <xf numFmtId="0" fontId="16" fillId="5" borderId="59"/>
    <xf numFmtId="0" fontId="16" fillId="8" borderId="59"/>
    <xf numFmtId="0" fontId="16" fillId="11" borderId="59"/>
    <xf numFmtId="0" fontId="17" fillId="12" borderId="59"/>
    <xf numFmtId="0" fontId="17" fillId="9" borderId="59"/>
    <xf numFmtId="0" fontId="17" fillId="10" borderId="59"/>
    <xf numFmtId="0" fontId="17" fillId="13" borderId="59"/>
    <xf numFmtId="0" fontId="17" fillId="14" borderId="59"/>
    <xf numFmtId="0" fontId="17" fillId="15" borderId="59"/>
    <xf numFmtId="0" fontId="17" fillId="16" borderId="59"/>
    <xf numFmtId="0" fontId="17" fillId="17" borderId="59"/>
    <xf numFmtId="0" fontId="17" fillId="18" borderId="59"/>
    <xf numFmtId="0" fontId="17" fillId="13" borderId="59"/>
    <xf numFmtId="0" fontId="17" fillId="14" borderId="59"/>
    <xf numFmtId="0" fontId="17" fillId="19" borderId="59"/>
    <xf numFmtId="0" fontId="18" fillId="3" borderId="59"/>
    <xf numFmtId="0" fontId="19" fillId="68" borderId="24"/>
    <xf numFmtId="0" fontId="20" fillId="55" borderId="20"/>
    <xf numFmtId="43" fontId="0" fillId="52" borderId="59"/>
    <xf numFmtId="41" fontId="0" fillId="52" borderId="59"/>
    <xf numFmtId="168" fontId="0" fillId="52" borderId="59"/>
    <xf numFmtId="42" fontId="0" fillId="52" borderId="59"/>
    <xf numFmtId="0" fontId="21" fillId="52" borderId="59"/>
    <xf numFmtId="0" fontId="7" fillId="52" borderId="59" applyAlignment="1" applyProtection="1">
      <alignment vertical="top"/>
      <protection locked="0" hidden="0"/>
    </xf>
    <xf numFmtId="0" fontId="22" fillId="4" borderId="59"/>
    <xf numFmtId="0" fontId="23" fillId="52" borderId="21"/>
    <xf numFmtId="0" fontId="24" fillId="52" borderId="22"/>
    <xf numFmtId="0" fontId="25" fillId="52" borderId="23"/>
    <xf numFmtId="0" fontId="25" fillId="52" borderId="59"/>
    <xf numFmtId="0" fontId="6" fillId="52" borderId="59" applyAlignment="1" applyProtection="1">
      <alignment vertical="top"/>
      <protection locked="0" hidden="0"/>
    </xf>
    <xf numFmtId="0" fontId="26" fillId="25" borderId="24"/>
    <xf numFmtId="0" fontId="27" fillId="52" borderId="25"/>
    <xf numFmtId="0" fontId="28" fillId="27" borderId="59"/>
    <xf numFmtId="0" fontId="0" fillId="28" borderId="27"/>
    <xf numFmtId="0" fontId="29" fillId="68" borderId="28"/>
    <xf numFmtId="9" fontId="0" fillId="52" borderId="59"/>
    <xf numFmtId="0" fontId="30" fillId="52" borderId="59"/>
    <xf numFmtId="0" fontId="31" fillId="52" borderId="29"/>
    <xf numFmtId="0" fontId="32" fillId="52" borderId="59"/>
  </cellStyleXfs>
  <cellXfs count="262">
    <xf numFmtId="0" fontId="0" fillId="0" borderId="0" pivotButton="0" quotePrefix="0" xfId="0"/>
    <xf numFmtId="0" fontId="2" fillId="0" borderId="0" pivotButton="0" quotePrefix="0" xfId="0"/>
    <xf numFmtId="0" fontId="2" fillId="0" borderId="30" pivotButton="0" quotePrefix="0" xfId="0"/>
    <xf numFmtId="0" fontId="3" fillId="0" borderId="0" pivotButton="0" quotePrefix="0" xfId="0"/>
    <xf numFmtId="0" fontId="2" fillId="0" borderId="31" pivotButton="0" quotePrefix="0" xfId="0"/>
    <xf numFmtId="0" fontId="2" fillId="0" borderId="32" pivotButton="0" quotePrefix="0" xfId="0"/>
    <xf numFmtId="0" fontId="2" fillId="0" borderId="33" pivotButton="0" quotePrefix="0" xfId="0"/>
    <xf numFmtId="0" fontId="2" fillId="0" borderId="34" pivotButton="0" quotePrefix="0" xfId="0"/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left"/>
    </xf>
    <xf numFmtId="0" fontId="5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30" pivotButton="0" quotePrefix="0" xfId="0"/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justify" vertical="justify"/>
    </xf>
    <xf numFmtId="0" fontId="2" fillId="0" borderId="0" applyAlignment="1" pivotButton="0" quotePrefix="0" xfId="0">
      <alignment vertical="justify"/>
    </xf>
    <xf numFmtId="0" fontId="2" fillId="0" borderId="35" pivotButton="0" quotePrefix="0" xfId="0"/>
    <xf numFmtId="0" fontId="2" fillId="0" borderId="36" pivotButton="0" quotePrefix="0" xfId="0"/>
    <xf numFmtId="0" fontId="2" fillId="0" borderId="36" applyAlignment="1" pivotButton="0" quotePrefix="0" xfId="0">
      <alignment horizontal="right"/>
    </xf>
    <xf numFmtId="0" fontId="2" fillId="0" borderId="37" pivotButton="0" quotePrefix="0" xfId="0"/>
    <xf numFmtId="43" fontId="2" fillId="0" borderId="0" applyAlignment="1" pivotButton="0" quotePrefix="0" xfId="0">
      <alignment horizontal="right"/>
    </xf>
    <xf numFmtId="0" fontId="3" fillId="0" borderId="32" pivotButton="0" quotePrefix="0" xfId="0"/>
    <xf numFmtId="2" fontId="2" fillId="0" borderId="38" pivotButton="0" quotePrefix="0" xfId="0"/>
    <xf numFmtId="2" fontId="2" fillId="0" borderId="31" pivotButton="0" quotePrefix="0" xfId="0"/>
    <xf numFmtId="2" fontId="2" fillId="0" borderId="34" pivotButton="0" quotePrefix="0" xfId="0"/>
    <xf numFmtId="2" fontId="2" fillId="0" borderId="33" pivotButton="0" quotePrefix="0" xfId="0"/>
    <xf numFmtId="2" fontId="2" fillId="0" borderId="39" pivotButton="0" quotePrefix="0" xfId="0"/>
    <xf numFmtId="2" fontId="2" fillId="0" borderId="32" pivotButton="0" quotePrefix="0" xfId="0"/>
    <xf numFmtId="2" fontId="2" fillId="0" borderId="40" pivotButton="0" quotePrefix="0" xfId="0"/>
    <xf numFmtId="2" fontId="2" fillId="0" borderId="0" pivotButton="0" quotePrefix="0" xfId="0"/>
    <xf numFmtId="2" fontId="2" fillId="0" borderId="30" pivotButton="0" quotePrefix="0" xfId="0"/>
    <xf numFmtId="2" fontId="2" fillId="0" borderId="35" pivotButton="0" quotePrefix="0" xfId="0"/>
    <xf numFmtId="2" fontId="2" fillId="0" borderId="41" pivotButton="0" quotePrefix="0" xfId="0"/>
    <xf numFmtId="0" fontId="2" fillId="0" borderId="42" pivotButton="0" quotePrefix="0" xfId="0"/>
    <xf numFmtId="2" fontId="3" fillId="0" borderId="43" pivotButton="0" quotePrefix="0" xfId="0"/>
    <xf numFmtId="2" fontId="3" fillId="0" borderId="44" pivotButton="0" quotePrefix="0" xfId="0"/>
    <xf numFmtId="0" fontId="2" fillId="0" borderId="45" pivotButton="0" quotePrefix="0" xfId="0"/>
    <xf numFmtId="2" fontId="3" fillId="0" borderId="46" pivotButton="0" quotePrefix="0" xfId="0"/>
    <xf numFmtId="2" fontId="3" fillId="0" borderId="47" pivotButton="0" quotePrefix="0" xfId="0"/>
    <xf numFmtId="0" fontId="3" fillId="0" borderId="35" pivotButton="0" quotePrefix="0" xfId="0"/>
    <xf numFmtId="2" fontId="3" fillId="0" borderId="37" pivotButton="0" quotePrefix="0" xfId="0"/>
    <xf numFmtId="164" fontId="2" fillId="0" borderId="0" applyAlignment="1" pivotButton="0" quotePrefix="0" xfId="0">
      <alignment horizontal="right"/>
    </xf>
    <xf numFmtId="164" fontId="2" fillId="0" borderId="0" pivotButton="0" quotePrefix="0" xfId="0"/>
    <xf numFmtId="165" fontId="2" fillId="0" borderId="0" pivotButton="0" quotePrefix="0" xfId="0"/>
    <xf numFmtId="0" fontId="3" fillId="0" borderId="33" pivotButton="0" quotePrefix="0" xfId="0"/>
    <xf numFmtId="0" fontId="3" fillId="0" borderId="34" applyAlignment="1" pivotButton="0" quotePrefix="0" xfId="0">
      <alignment horizontal="right"/>
    </xf>
    <xf numFmtId="2" fontId="2" fillId="0" borderId="40" pivotButton="0" quotePrefix="0" xfId="45"/>
    <xf numFmtId="0" fontId="2" fillId="0" borderId="48" pivotButton="0" quotePrefix="0" xfId="0"/>
    <xf numFmtId="0" fontId="4" fillId="0" borderId="0" pivotButton="0" quotePrefix="0" xfId="0"/>
    <xf numFmtId="2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48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164" fontId="10" fillId="0" borderId="0" pivotButton="0" quotePrefix="0" xfId="0"/>
    <xf numFmtId="2" fontId="2" fillId="0" borderId="37" pivotButton="0" quotePrefix="0" xfId="0"/>
    <xf numFmtId="0" fontId="2" fillId="0" borderId="49" pivotButton="0" quotePrefix="0" xfId="0"/>
    <xf numFmtId="0" fontId="2" fillId="0" borderId="38" pivotButton="0" quotePrefix="0" xfId="0"/>
    <xf numFmtId="2" fontId="3" fillId="0" borderId="0" pivotButton="0" quotePrefix="0" xfId="0"/>
    <xf numFmtId="166" fontId="2" fillId="0" borderId="0" pivotButton="0" quotePrefix="0" xfId="0"/>
    <xf numFmtId="2" fontId="2" fillId="0" borderId="49" pivotButton="0" quotePrefix="0" xfId="0"/>
    <xf numFmtId="0" fontId="2" fillId="0" borderId="50" pivotButton="0" quotePrefix="0" xfId="0"/>
    <xf numFmtId="2" fontId="2" fillId="0" borderId="51" pivotButton="0" quotePrefix="0" xfId="0"/>
    <xf numFmtId="0" fontId="11" fillId="0" borderId="0" pivotButton="0" quotePrefix="0" xfId="0"/>
    <xf numFmtId="2" fontId="3" fillId="0" borderId="36" applyAlignment="1" pivotButton="0" quotePrefix="0" xfId="0">
      <alignment horizontal="right"/>
    </xf>
    <xf numFmtId="0" fontId="3" fillId="0" borderId="41" pivotButton="0" quotePrefix="0" xfId="0"/>
    <xf numFmtId="0" fontId="3" fillId="0" borderId="36" pivotButton="0" quotePrefix="0" xfId="0"/>
    <xf numFmtId="0" fontId="3" fillId="0" borderId="37" applyAlignment="1" pivotButton="0" quotePrefix="0" xfId="0">
      <alignment horizontal="center"/>
    </xf>
    <xf numFmtId="0" fontId="3" fillId="0" borderId="41" applyAlignment="1" pivotButton="0" quotePrefix="0" xfId="0">
      <alignment horizontal="center"/>
    </xf>
    <xf numFmtId="0" fontId="3" fillId="0" borderId="51" applyAlignment="1" pivotButton="0" quotePrefix="0" xfId="0">
      <alignment horizontal="center"/>
    </xf>
    <xf numFmtId="0" fontId="2" fillId="0" borderId="38" applyAlignment="1" pivotButton="0" quotePrefix="0" xfId="0">
      <alignment horizontal="left"/>
    </xf>
    <xf numFmtId="2" fontId="2" fillId="0" borderId="31" applyAlignment="1" pivotButton="0" quotePrefix="0" xfId="0">
      <alignment horizontal="right"/>
    </xf>
    <xf numFmtId="2" fontId="2" fillId="0" borderId="30" applyAlignment="1" pivotButton="0" quotePrefix="0" xfId="0">
      <alignment horizontal="right"/>
    </xf>
    <xf numFmtId="2" fontId="2" fillId="0" borderId="51" applyAlignment="1" pivotButton="0" quotePrefix="0" xfId="0">
      <alignment horizontal="right"/>
    </xf>
    <xf numFmtId="2" fontId="2" fillId="0" borderId="36" pivotButton="0" quotePrefix="0" xfId="0"/>
    <xf numFmtId="2" fontId="3" fillId="53" borderId="52" pivotButton="0" quotePrefix="0" xfId="0"/>
    <xf numFmtId="2" fontId="2" fillId="54" borderId="53" pivotButton="0" quotePrefix="0" xfId="0"/>
    <xf numFmtId="0" fontId="3" fillId="0" borderId="49" pivotButton="0" quotePrefix="0" xfId="0"/>
    <xf numFmtId="2" fontId="3" fillId="0" borderId="41" applyAlignment="1" pivotButton="0" quotePrefix="0" xfId="0">
      <alignment horizontal="right"/>
    </xf>
    <xf numFmtId="2" fontId="3" fillId="0" borderId="36" pivotButton="0" quotePrefix="0" xfId="0"/>
    <xf numFmtId="0" fontId="3" fillId="0" borderId="50" pivotButton="0" quotePrefix="0" xfId="0"/>
    <xf numFmtId="0" fontId="2" fillId="0" borderId="39" pivotButton="0" quotePrefix="0" xfId="0"/>
    <xf numFmtId="0" fontId="4" fillId="0" borderId="32" pivotButton="0" quotePrefix="0" xfId="0"/>
    <xf numFmtId="0" fontId="3" fillId="0" borderId="34" pivotButton="0" quotePrefix="0" xfId="0"/>
    <xf numFmtId="2" fontId="3" fillId="0" borderId="34" pivotButton="0" quotePrefix="0" xfId="0"/>
    <xf numFmtId="2" fontId="3" fillId="0" borderId="40" pivotButton="0" quotePrefix="0" xfId="0"/>
    <xf numFmtId="2" fontId="2" fillId="0" borderId="40" applyAlignment="1" pivotButton="0" quotePrefix="0" xfId="0">
      <alignment horizontal="right"/>
    </xf>
    <xf numFmtId="0" fontId="3" fillId="0" borderId="39" applyAlignment="1" pivotButton="0" quotePrefix="0" xfId="0">
      <alignment horizontal="center"/>
    </xf>
    <xf numFmtId="0" fontId="2" fillId="0" borderId="39" applyAlignment="1" pivotButton="0" quotePrefix="0" xfId="0">
      <alignment horizontal="left"/>
    </xf>
    <xf numFmtId="0" fontId="0" fillId="0" borderId="48" pivotButton="0" quotePrefix="0" xfId="0"/>
    <xf numFmtId="0" fontId="0" fillId="0" borderId="50" pivotButton="0" quotePrefix="0" xfId="0"/>
    <xf numFmtId="0" fontId="0" fillId="0" borderId="49" pivotButton="0" quotePrefix="0" xfId="0"/>
    <xf numFmtId="0" fontId="0" fillId="0" borderId="3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4" fontId="3" fillId="0" borderId="0" applyAlignment="1" pivotButton="0" quotePrefix="0" xfId="0">
      <alignment horizontal="left"/>
    </xf>
    <xf numFmtId="0" fontId="2" fillId="0" borderId="51" applyAlignment="1" pivotButton="0" quotePrefix="0" xfId="0">
      <alignment horizontal="left"/>
    </xf>
    <xf numFmtId="0" fontId="2" fillId="0" borderId="40" applyAlignment="1" pivotButton="0" quotePrefix="0" xfId="0">
      <alignment horizontal="left"/>
    </xf>
    <xf numFmtId="0" fontId="3" fillId="0" borderId="33" applyAlignment="1" pivotButton="0" quotePrefix="0" xfId="0">
      <alignment horizontal="center"/>
    </xf>
    <xf numFmtId="0" fontId="3" fillId="0" borderId="33" applyAlignment="1" pivotButton="0" quotePrefix="0" xfId="0">
      <alignment horizontal="left"/>
    </xf>
    <xf numFmtId="0" fontId="3" fillId="0" borderId="36" applyAlignment="1" pivotButton="0" quotePrefix="0" xfId="0">
      <alignment horizontal="center"/>
    </xf>
    <xf numFmtId="0" fontId="3" fillId="0" borderId="36" applyAlignment="1" pivotButton="0" quotePrefix="0" xfId="0">
      <alignment horizontal="left"/>
    </xf>
    <xf numFmtId="0" fontId="2" fillId="0" borderId="41" applyAlignment="1" pivotButton="0" quotePrefix="0" xfId="0">
      <alignment horizontal="center"/>
    </xf>
    <xf numFmtId="0" fontId="2" fillId="0" borderId="38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37" pivotButton="0" quotePrefix="0" xfId="0"/>
    <xf numFmtId="1" fontId="2" fillId="0" borderId="37" applyAlignment="1" pivotButton="0" quotePrefix="0" xfId="0">
      <alignment horizontal="right"/>
    </xf>
    <xf numFmtId="1" fontId="2" fillId="0" borderId="33" applyAlignment="1" pivotButton="0" quotePrefix="0" xfId="0">
      <alignment horizontal="right"/>
    </xf>
    <xf numFmtId="1" fontId="2" fillId="0" borderId="30" pivotButton="0" quotePrefix="0" xfId="0"/>
    <xf numFmtId="0" fontId="2" fillId="0" borderId="40" pivotButton="0" quotePrefix="0" xfId="0"/>
    <xf numFmtId="0" fontId="2" fillId="0" borderId="3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3" fillId="0" borderId="35" applyAlignment="1" pivotButton="0" quotePrefix="0" xfId="0">
      <alignment horizontal="center"/>
    </xf>
    <xf numFmtId="0" fontId="2" fillId="0" borderId="51" pivotButton="0" quotePrefix="0" xfId="0"/>
    <xf numFmtId="0" fontId="3" fillId="0" borderId="40" pivotButton="0" quotePrefix="0" xfId="0"/>
    <xf numFmtId="2" fontId="2" fillId="0" borderId="0" applyAlignment="1" pivotButton="0" quotePrefix="0" xfId="0">
      <alignment horizontal="center"/>
    </xf>
    <xf numFmtId="2" fontId="2" fillId="0" borderId="33" applyAlignment="1" pivotButton="0" quotePrefix="0" xfId="0">
      <alignment horizontal="center"/>
    </xf>
    <xf numFmtId="2" fontId="2" fillId="0" borderId="31" applyAlignment="1" pivotButton="0" quotePrefix="0" xfId="0">
      <alignment horizontal="center"/>
    </xf>
    <xf numFmtId="2" fontId="2" fillId="0" borderId="34" applyAlignment="1" pivotButton="0" quotePrefix="0" xfId="0">
      <alignment horizontal="center"/>
    </xf>
    <xf numFmtId="0" fontId="3" fillId="0" borderId="39" pivotButton="0" quotePrefix="0" xfId="0"/>
    <xf numFmtId="0" fontId="3" fillId="0" borderId="37" pivotButton="0" quotePrefix="0" xfId="0"/>
    <xf numFmtId="0" fontId="2" fillId="0" borderId="33" applyAlignment="1" pivotButton="0" quotePrefix="0" xfId="0">
      <alignment horizontal="left"/>
    </xf>
    <xf numFmtId="0" fontId="9" fillId="55" borderId="54" pivotButton="0" quotePrefix="0" xfId="0"/>
    <xf numFmtId="0" fontId="2" fillId="55" borderId="54" pivotButton="0" quotePrefix="0" xfId="0"/>
    <xf numFmtId="0" fontId="0" fillId="55" borderId="54" pivotButton="0" quotePrefix="0" xfId="0"/>
    <xf numFmtId="0" fontId="2" fillId="0" borderId="30" applyAlignment="1" pivotButton="0" quotePrefix="0" xfId="0">
      <alignment horizontal="left" indent="5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3" fillId="0" borderId="30" applyAlignment="1" pivotButton="0" quotePrefix="0" xfId="0">
      <alignment horizontal="left" indent="5"/>
    </xf>
    <xf numFmtId="0" fontId="3" fillId="0" borderId="33" applyAlignment="1" pivotButton="0" quotePrefix="0" xfId="0">
      <alignment horizontal="right"/>
    </xf>
    <xf numFmtId="0" fontId="2" fillId="0" borderId="0" applyAlignment="1" pivotButton="0" quotePrefix="0" xfId="0">
      <alignment horizontal="left" indent="5"/>
    </xf>
    <xf numFmtId="0" fontId="3" fillId="56" borderId="55" pivotButton="0" quotePrefix="0" xfId="0"/>
    <xf numFmtId="0" fontId="2" fillId="57" borderId="56" pivotButton="0" quotePrefix="0" xfId="0"/>
    <xf numFmtId="0" fontId="2" fillId="58" borderId="57" pivotButton="0" quotePrefix="0" xfId="0"/>
    <xf numFmtId="0" fontId="2" fillId="59" borderId="58" pivotButton="0" quotePrefix="0" xfId="0"/>
    <xf numFmtId="0" fontId="2" fillId="60" borderId="59" pivotButton="0" quotePrefix="0" xfId="0"/>
    <xf numFmtId="0" fontId="3" fillId="60" borderId="59" pivotButton="0" quotePrefix="0" xfId="0"/>
    <xf numFmtId="0" fontId="2" fillId="61" borderId="60" pivotButton="0" quotePrefix="0" xfId="0"/>
    <xf numFmtId="0" fontId="3" fillId="59" borderId="58" pivotButton="0" quotePrefix="0" xfId="0"/>
    <xf numFmtId="0" fontId="3" fillId="61" borderId="60" pivotButton="0" quotePrefix="0" xfId="0"/>
    <xf numFmtId="0" fontId="2" fillId="62" borderId="61" pivotButton="0" quotePrefix="0" xfId="0"/>
    <xf numFmtId="0" fontId="2" fillId="63" borderId="62" pivotButton="0" quotePrefix="0" xfId="0"/>
    <xf numFmtId="0" fontId="2" fillId="64" borderId="63" pivotButton="0" quotePrefix="0" xfId="0"/>
    <xf numFmtId="2" fontId="2" fillId="0" borderId="38" applyAlignment="1" pivotButton="0" quotePrefix="0" xfId="0">
      <alignment horizontal="right"/>
    </xf>
    <xf numFmtId="0" fontId="3" fillId="0" borderId="50" applyAlignment="1" pivotButton="0" quotePrefix="0" xfId="0">
      <alignment horizontal="center"/>
    </xf>
    <xf numFmtId="0" fontId="3" fillId="0" borderId="49" applyAlignment="1" pivotButton="0" quotePrefix="0" xfId="0">
      <alignment horizontal="center"/>
    </xf>
    <xf numFmtId="0" fontId="9" fillId="0" borderId="0" applyAlignment="1" pivotButton="0" quotePrefix="0" xfId="0">
      <alignment vertical="top"/>
    </xf>
    <xf numFmtId="0" fontId="9" fillId="65" borderId="64" pivotButton="0" quotePrefix="0" xfId="0"/>
    <xf numFmtId="0" fontId="9" fillId="66" borderId="65" pivotButton="0" quotePrefix="0" xfId="0"/>
    <xf numFmtId="0" fontId="2" fillId="0" borderId="50" applyAlignment="1" pivotButton="0" quotePrefix="0" xfId="0">
      <alignment horizontal="center"/>
    </xf>
    <xf numFmtId="0" fontId="3" fillId="65" borderId="64" pivotButton="0" quotePrefix="0" xfId="0"/>
    <xf numFmtId="0" fontId="3" fillId="66" borderId="65" pivotButton="0" quotePrefix="0" xfId="0"/>
    <xf numFmtId="0" fontId="3" fillId="0" borderId="30" applyAlignment="1" pivotButton="0" quotePrefix="0" xfId="0">
      <alignment horizontal="center"/>
    </xf>
    <xf numFmtId="0" fontId="15" fillId="0" borderId="0" pivotButton="0" quotePrefix="0" xfId="0"/>
    <xf numFmtId="2" fontId="3" fillId="67" borderId="66" pivotButton="0" quotePrefix="0" xfId="0"/>
    <xf numFmtId="9" fontId="2" fillId="0" borderId="35" applyAlignment="1" pivotButton="0" quotePrefix="0" xfId="0">
      <alignment horizontal="center"/>
    </xf>
    <xf numFmtId="2" fontId="3" fillId="0" borderId="33" pivotButton="0" quotePrefix="0" xfId="0"/>
    <xf numFmtId="0" fontId="9" fillId="68" borderId="67" pivotButton="0" quotePrefix="0" xfId="0"/>
    <xf numFmtId="0" fontId="2" fillId="68" borderId="67" pivotButton="0" quotePrefix="0" xfId="0"/>
    <xf numFmtId="0" fontId="2" fillId="0" borderId="0" applyAlignment="1" pivotButton="0" quotePrefix="0" xfId="0">
      <alignment horizontal="left" vertical="justify"/>
    </xf>
    <xf numFmtId="0" fontId="5" fillId="0" borderId="0" applyAlignment="1" pivotButton="0" quotePrefix="0" xfId="0">
      <alignment horizontal="center" vertical="justify"/>
    </xf>
    <xf numFmtId="0" fontId="3" fillId="0" borderId="41" applyAlignment="1" pivotButton="0" quotePrefix="0" xfId="0">
      <alignment horizontal="left"/>
    </xf>
    <xf numFmtId="0" fontId="3" fillId="0" borderId="37" applyAlignment="1" pivotButton="0" quotePrefix="0" xfId="0">
      <alignment horizontal="left"/>
    </xf>
    <xf numFmtId="2" fontId="2" fillId="0" borderId="0" applyAlignment="1" pivotButton="0" quotePrefix="0" xfId="0">
      <alignment horizontal="left"/>
    </xf>
    <xf numFmtId="0" fontId="2" fillId="0" borderId="41" applyAlignment="1" pivotButton="0" quotePrefix="0" xfId="0">
      <alignment horizontal="left"/>
    </xf>
    <xf numFmtId="2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justify" vertical="justify"/>
    </xf>
    <xf numFmtId="0" fontId="3" fillId="0" borderId="37" applyAlignment="1" pivotButton="0" quotePrefix="0" xfId="0">
      <alignment horizontal="right"/>
    </xf>
    <xf numFmtId="0" fontId="3" fillId="0" borderId="50" applyAlignment="1" pivotButton="0" quotePrefix="0" xfId="0">
      <alignment horizontal="justify" vertical="justify"/>
    </xf>
    <xf numFmtId="0" fontId="3" fillId="0" borderId="39" applyAlignment="1" pivotButton="0" quotePrefix="0" xfId="0">
      <alignment horizontal="justify" vertical="justify"/>
    </xf>
    <xf numFmtId="0" fontId="3" fillId="0" borderId="32" applyAlignment="1" pivotButton="0" quotePrefix="0" xfId="0">
      <alignment horizontal="justify" vertical="justify"/>
    </xf>
    <xf numFmtId="0" fontId="3" fillId="0" borderId="34" applyAlignment="1" pivotButton="0" quotePrefix="0" xfId="0">
      <alignment horizontal="justify" vertical="justify"/>
    </xf>
    <xf numFmtId="0" fontId="2" fillId="0" borderId="35" applyAlignment="1" pivotButton="0" quotePrefix="0" xfId="0">
      <alignment horizontal="center"/>
    </xf>
    <xf numFmtId="0" fontId="2" fillId="0" borderId="37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left"/>
    </xf>
    <xf numFmtId="0" fontId="2" fillId="0" borderId="35" applyAlignment="1" pivotButton="0" quotePrefix="0" xfId="0">
      <alignment horizontal="left"/>
    </xf>
    <xf numFmtId="0" fontId="2" fillId="0" borderId="37" applyAlignment="1" pivotButton="0" quotePrefix="0" xfId="0">
      <alignment horizontal="left"/>
    </xf>
    <xf numFmtId="0" fontId="10" fillId="0" borderId="0" applyAlignment="1" pivotButton="0" quotePrefix="0" xfId="0">
      <alignment horizontal="justify" vertical="justify"/>
    </xf>
    <xf numFmtId="0" fontId="3" fillId="0" borderId="0" applyAlignment="1" pivotButton="0" quotePrefix="0" xfId="0">
      <alignment horizontal="left" vertical="justify"/>
    </xf>
    <xf numFmtId="167" fontId="3" fillId="0" borderId="0" applyAlignment="1" pivotButton="0" quotePrefix="0" xfId="0">
      <alignment horizontal="left"/>
    </xf>
    <xf numFmtId="0" fontId="16" fillId="2" borderId="1" pivotButton="0" quotePrefix="0" xfId="1"/>
    <xf numFmtId="0" fontId="16" fillId="3" borderId="2" pivotButton="0" quotePrefix="0" xfId="2"/>
    <xf numFmtId="0" fontId="16" fillId="4" borderId="3" pivotButton="0" quotePrefix="0" xfId="3"/>
    <xf numFmtId="0" fontId="16" fillId="5" borderId="4" pivotButton="0" quotePrefix="0" xfId="4"/>
    <xf numFmtId="0" fontId="16" fillId="6" borderId="5" pivotButton="0" quotePrefix="0" xfId="5"/>
    <xf numFmtId="0" fontId="16" fillId="7" borderId="6" pivotButton="0" quotePrefix="0" xfId="6"/>
    <xf numFmtId="0" fontId="16" fillId="8" borderId="7" pivotButton="0" quotePrefix="0" xfId="7"/>
    <xf numFmtId="0" fontId="16" fillId="9" borderId="8" pivotButton="0" quotePrefix="0" xfId="8"/>
    <xf numFmtId="0" fontId="16" fillId="10" borderId="9" pivotButton="0" quotePrefix="0" xfId="9"/>
    <xf numFmtId="0" fontId="16" fillId="5" borderId="4" pivotButton="0" quotePrefix="0" xfId="10"/>
    <xf numFmtId="0" fontId="16" fillId="8" borderId="7" pivotButton="0" quotePrefix="0" xfId="11"/>
    <xf numFmtId="0" fontId="16" fillId="11" borderId="10" pivotButton="0" quotePrefix="0" xfId="12"/>
    <xf numFmtId="0" fontId="17" fillId="12" borderId="11" pivotButton="0" quotePrefix="0" xfId="13"/>
    <xf numFmtId="0" fontId="17" fillId="9" borderId="8" pivotButton="0" quotePrefix="0" xfId="14"/>
    <xf numFmtId="0" fontId="17" fillId="10" borderId="9" pivotButton="0" quotePrefix="0" xfId="15"/>
    <xf numFmtId="0" fontId="17" fillId="13" borderId="12" pivotButton="0" quotePrefix="0" xfId="16"/>
    <xf numFmtId="0" fontId="17" fillId="14" borderId="13" pivotButton="0" quotePrefix="0" xfId="17"/>
    <xf numFmtId="0" fontId="17" fillId="15" borderId="14" pivotButton="0" quotePrefix="0" xfId="18"/>
    <xf numFmtId="0" fontId="17" fillId="16" borderId="15" pivotButton="0" quotePrefix="0" xfId="19"/>
    <xf numFmtId="0" fontId="17" fillId="17" borderId="16" pivotButton="0" quotePrefix="0" xfId="20"/>
    <xf numFmtId="0" fontId="17" fillId="18" borderId="17" pivotButton="0" quotePrefix="0" xfId="21"/>
    <xf numFmtId="0" fontId="17" fillId="13" borderId="12" pivotButton="0" quotePrefix="0" xfId="22"/>
    <xf numFmtId="0" fontId="17" fillId="14" borderId="13" pivotButton="0" quotePrefix="0" xfId="23"/>
    <xf numFmtId="0" fontId="17" fillId="19" borderId="18" pivotButton="0" quotePrefix="0" xfId="24"/>
    <xf numFmtId="0" fontId="18" fillId="3" borderId="2" pivotButton="0" quotePrefix="0" xfId="25"/>
    <xf numFmtId="0" fontId="19" fillId="20" borderId="19" pivotButton="0" quotePrefix="0" xfId="26"/>
    <xf numFmtId="0" fontId="20" fillId="21" borderId="20" pivotButton="0" quotePrefix="0" xfId="27"/>
    <xf numFmtId="43" fontId="0" fillId="0" borderId="0" pivotButton="0" quotePrefix="0" xfId="28"/>
    <xf numFmtId="41" fontId="0" fillId="0" borderId="0" pivotButton="0" quotePrefix="0" xfId="29"/>
    <xf numFmtId="168" fontId="0" fillId="0" borderId="0" pivotButton="0" quotePrefix="0" xfId="30"/>
    <xf numFmtId="42" fontId="0" fillId="0" borderId="0" pivotButton="0" quotePrefix="0" xfId="31"/>
    <xf numFmtId="0" fontId="21" fillId="0" borderId="0" pivotButton="0" quotePrefix="0" xfId="32"/>
    <xf numFmtId="0" fontId="7" fillId="0" borderId="0" applyAlignment="1" pivotButton="0" quotePrefix="0" xfId="33">
      <alignment vertical="top"/>
    </xf>
    <xf numFmtId="0" fontId="22" fillId="4" borderId="3" pivotButton="0" quotePrefix="0" xfId="34"/>
    <xf numFmtId="0" fontId="23" fillId="0" borderId="21" pivotButton="0" quotePrefix="0" xfId="35"/>
    <xf numFmtId="0" fontId="24" fillId="0" borderId="22" pivotButton="0" quotePrefix="0" xfId="36"/>
    <xf numFmtId="0" fontId="25" fillId="0" borderId="23" pivotButton="0" quotePrefix="0" xfId="37"/>
    <xf numFmtId="0" fontId="25" fillId="0" borderId="0" pivotButton="0" quotePrefix="0" xfId="38"/>
    <xf numFmtId="0" fontId="6" fillId="0" borderId="0" applyAlignment="1" pivotButton="0" quotePrefix="0" xfId="39">
      <alignment vertical="top"/>
    </xf>
    <xf numFmtId="0" fontId="26" fillId="25" borderId="24" pivotButton="0" quotePrefix="0" xfId="40"/>
    <xf numFmtId="0" fontId="27" fillId="0" borderId="25" pivotButton="0" quotePrefix="0" xfId="41"/>
    <xf numFmtId="0" fontId="28" fillId="27" borderId="26" pivotButton="0" quotePrefix="0" xfId="42"/>
    <xf numFmtId="0" fontId="0" fillId="28" borderId="27" pivotButton="0" quotePrefix="0" xfId="43"/>
    <xf numFmtId="0" fontId="29" fillId="29" borderId="28" pivotButton="0" quotePrefix="0" xfId="44"/>
    <xf numFmtId="9" fontId="0" fillId="0" borderId="0" pivotButton="0" quotePrefix="0" xfId="45"/>
    <xf numFmtId="0" fontId="30" fillId="0" borderId="0" pivotButton="0" quotePrefix="0" xfId="46"/>
    <xf numFmtId="0" fontId="31" fillId="0" borderId="29" pivotButton="0" quotePrefix="0" xfId="47"/>
    <xf numFmtId="0" fontId="32" fillId="0" borderId="0" pivotButton="0" quotePrefix="0" xfId="48"/>
    <xf numFmtId="0" fontId="3" fillId="0" borderId="0" applyAlignment="1" pivotButton="0" quotePrefix="1" xfId="0">
      <alignment horizontal="left"/>
    </xf>
    <xf numFmtId="0" fontId="2" fillId="60" borderId="59" pivotButton="0" quotePrefix="1" xfId="0"/>
    <xf numFmtId="0" fontId="2" fillId="63" borderId="62" pivotButton="0" quotePrefix="1" xfId="0"/>
    <xf numFmtId="164" fontId="2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0" fontId="2" fillId="0" borderId="59" applyAlignment="1" pivotButton="0" quotePrefix="0" xfId="0">
      <alignment horizontal="justify" vertical="justify"/>
    </xf>
    <xf numFmtId="167" fontId="3" fillId="0" borderId="0" applyAlignment="1" pivotButton="0" quotePrefix="0" xfId="0">
      <alignment horizontal="left"/>
    </xf>
    <xf numFmtId="166" fontId="2" fillId="0" borderId="0" pivotButton="0" quotePrefix="0" xfId="0"/>
    <xf numFmtId="0" fontId="2" fillId="0" borderId="66" applyAlignment="1" pivotButton="0" quotePrefix="0" xfId="0">
      <alignment horizontal="left"/>
    </xf>
    <xf numFmtId="0" fontId="0" fillId="0" borderId="67" pivotButton="0" quotePrefix="0" xfId="0"/>
    <xf numFmtId="0" fontId="2" fillId="0" borderId="66" applyAlignment="1" pivotButton="0" quotePrefix="0" xfId="0">
      <alignment horizontal="center"/>
    </xf>
    <xf numFmtId="43" fontId="2" fillId="0" borderId="0" applyAlignment="1" pivotButton="0" quotePrefix="0" xfId="0">
      <alignment horizontal="right"/>
    </xf>
    <xf numFmtId="0" fontId="3" fillId="0" borderId="66" applyAlignment="1" pivotButton="0" quotePrefix="0" xfId="0">
      <alignment horizontal="center"/>
    </xf>
    <xf numFmtId="0" fontId="3" fillId="0" borderId="66" applyAlignment="1" pivotButton="0" quotePrefix="0" xfId="0">
      <alignment horizontal="justify" vertical="justify"/>
    </xf>
    <xf numFmtId="164" fontId="2" fillId="0" borderId="0" applyAlignment="1" pivotButton="0" quotePrefix="0" xfId="0">
      <alignment horizontal="right"/>
    </xf>
    <xf numFmtId="164" fontId="2" fillId="0" borderId="0" pivotButton="0" quotePrefix="0" xfId="0"/>
    <xf numFmtId="165" fontId="2" fillId="0" borderId="0" pivotButton="0" quotePrefix="0" xfId="0"/>
    <xf numFmtId="0" fontId="10" fillId="0" borderId="59" applyAlignment="1" pivotButton="0" quotePrefix="0" xfId="0">
      <alignment horizontal="justify" vertical="justify"/>
    </xf>
    <xf numFmtId="164" fontId="10" fillId="0" borderId="0" pivotButton="0" quotePrefix="0" xfId="0"/>
    <xf numFmtId="0" fontId="3" fillId="0" borderId="59" applyAlignment="1" pivotButton="0" quotePrefix="0" xfId="0">
      <alignment horizontal="left" vertical="justify"/>
    </xf>
    <xf numFmtId="0" fontId="2" fillId="0" borderId="59" applyAlignment="1" pivotButton="0" quotePrefix="0" xfId="0">
      <alignment horizontal="left"/>
    </xf>
    <xf numFmtId="0" fontId="2" fillId="0" borderId="59" applyAlignment="1" pivotButton="0" quotePrefix="0" xfId="0">
      <alignment horizontal="justify" vertical="top" wrapText="1"/>
    </xf>
    <xf numFmtId="0" fontId="2" fillId="0" borderId="59" applyAlignment="1" pivotButton="0" quotePrefix="0" xfId="0">
      <alignment horizontal="left" vertical="top" wrapText="1"/>
    </xf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Followed Hyperlink" xfId="33" builtinId="9"/>
    <cellStyle name="Good" xfId="34" builtinId="26"/>
    <cellStyle name="Heading 1" xfId="35" builtinId="16"/>
    <cellStyle name="Heading 2" xfId="36" builtinId="17"/>
    <cellStyle name="Heading 3" xfId="37" builtinId="18"/>
    <cellStyle name="Heading 4" xfId="38" builtinId="19"/>
    <cellStyle name="Hyperlink" xfId="39" builtinId="8"/>
    <cellStyle name="Input" xfId="40" builtinId="20"/>
    <cellStyle name="Linked Cell" xfId="41" builtinId="24"/>
    <cellStyle name="Neutral" xfId="42" builtinId="28"/>
    <cellStyle name="Note" xfId="43" builtinId="10"/>
    <cellStyle name="Output" xfId="44" builtinId="21"/>
    <cellStyle name="Percent" xfId="45" builtinId="5"/>
    <cellStyle name="Title" xfId="46" builtinId="15"/>
    <cellStyle name="Total" xfId="47" builtinId="25"/>
    <cellStyle name="Warning Text" xfId="48" builtinId="11"/>
  </cellStyles>
  <dxfs count="1">
    <dxf>
      <font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267"/>
  <sheetViews>
    <sheetView tabSelected="1" view="normal" topLeftCell="A95" workbookViewId="0">
      <selection activeCell="B110" sqref="B110"/>
    </sheetView>
  </sheetViews>
  <sheetFormatPr baseColWidth="8" defaultRowHeight="13.45"/>
  <cols>
    <col width="5" customWidth="1" style="1" min="1" max="1"/>
    <col width="6" customWidth="1" style="1" min="2" max="2"/>
    <col width="14.833333" customWidth="1" style="1" min="3" max="3"/>
    <col width="9.333333" customWidth="1" style="1" min="4" max="4"/>
    <col width="9.833333" customWidth="1" style="1" min="5" max="5"/>
    <col width="11.833333" customWidth="1" style="1" min="6" max="9"/>
    <col width="9.166667" customWidth="1" style="1" min="10" max="10"/>
    <col width="14.833333" customWidth="1" style="1" min="11" max="11"/>
    <col width="9.5" customWidth="1" style="1" min="12" max="12"/>
    <col width="19.333333" customWidth="1" style="1" min="13" max="13"/>
    <col width="19" customWidth="1" style="1" min="14" max="14"/>
    <col width="11.333333" customWidth="1" style="1" min="15" max="15"/>
    <col width="11.5" customWidth="1" style="1" min="16" max="16"/>
    <col width="11.166667" customWidth="1" style="1" min="17" max="17"/>
    <col width="11.5" customWidth="1" style="1" min="18" max="18"/>
    <col width="11.333333" customWidth="1" style="1" min="19" max="19"/>
    <col width="11.166667" customWidth="1" style="1" min="20" max="20"/>
    <col width="9.333333" customWidth="1" style="1" min="21" max="257"/>
  </cols>
  <sheetData>
    <row r="2">
      <c r="B2" s="51" t="inlineStr">
        <is>
          <t>Er. SUNIL KUMAR</t>
        </is>
      </c>
      <c r="I2" s="1" t="inlineStr">
        <is>
          <t># 304, Village: Daria,</t>
        </is>
      </c>
    </row>
    <row r="3">
      <c r="B3" s="1" t="inlineStr">
        <is>
          <t>SURVEYOR &amp; LOSS ASSESSOR</t>
        </is>
      </c>
      <c r="C3" s="3" t="n"/>
      <c r="I3" s="1" t="inlineStr">
        <is>
          <t>Near Railway Station, Chandigarh</t>
        </is>
      </c>
    </row>
    <row r="4">
      <c r="B4" s="1" t="inlineStr">
        <is>
          <t>LICENCE NO: 73070   EXPIRY: 08.02.2028</t>
        </is>
      </c>
      <c r="H4" s="3" t="n"/>
      <c r="I4" s="1" t="inlineStr">
        <is>
          <t>Mobile: 098761-35253</t>
        </is>
      </c>
    </row>
    <row r="5">
      <c r="B5" s="6" t="inlineStr">
        <is>
          <t>PAN NO:  AQUPK1480C</t>
        </is>
      </c>
      <c r="C5" s="6" t="n"/>
      <c r="D5" s="6" t="n"/>
      <c r="E5" s="6" t="n"/>
      <c r="F5" s="6" t="n"/>
      <c r="G5" s="6" t="n"/>
      <c r="H5" s="6" t="n"/>
      <c r="I5" s="6" t="inlineStr">
        <is>
          <t>e-mail:- ksunilsurveyor@gmail.com</t>
        </is>
      </c>
      <c r="J5" s="6" t="n"/>
      <c r="K5" s="6" t="n"/>
    </row>
    <row r="6" ht="3" customHeight="1"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</row>
    <row r="7" ht="4.5" customHeight="1"/>
    <row r="8">
      <c r="B8" s="3" t="inlineStr">
        <is>
          <t>Ref:</t>
        </is>
      </c>
      <c r="C8" s="1" t="n"/>
      <c r="D8" s="13" t="n"/>
      <c r="J8" s="8" t="inlineStr">
        <is>
          <t>Date:</t>
        </is>
      </c>
      <c r="K8" s="242" t="n"/>
    </row>
    <row r="9" ht="4.5" customHeight="1">
      <c r="B9" s="3" t="n"/>
      <c r="J9" s="8" t="n"/>
      <c r="K9" s="243" t="n"/>
    </row>
    <row r="10">
      <c r="B10" s="10" t="inlineStr">
        <is>
          <t>PRIVATE &amp; CONFIDENTIAL SURVEY REPORT</t>
        </is>
      </c>
    </row>
    <row r="11" ht="26.25" customHeight="1">
      <c r="B11" s="244" t="inlineStr">
        <is>
          <t>The report is issued by me as Licenced surveyor without prejudice in respect of cause, nature &amp; extent of loss/damages and subject to the terms and conditions of Insurance Policy.</t>
        </is>
      </c>
    </row>
    <row r="12" ht="12.75" customHeight="1">
      <c r="B12" s="13" t="n">
        <v>1</v>
      </c>
    </row>
    <row r="13">
      <c r="B13" s="245" t="inlineStr">
        <is>
          <t>a</t>
        </is>
      </c>
      <c r="C13" s="3" t="inlineStr">
        <is>
          <t>INSURERS</t>
        </is>
      </c>
      <c r="E13" s="12" t="n"/>
      <c r="F13" s="11" t="inlineStr">
        <is>
          <t>:</t>
        </is>
      </c>
      <c r="G13" s="1" t="n"/>
      <c r="J13" s="8" t="inlineStr">
        <is>
          <t>IDV=</t>
        </is>
      </c>
      <c r="K13" s="104" t="n"/>
    </row>
    <row r="14">
      <c r="A14" s="10" t="n"/>
      <c r="C14" s="1" t="inlineStr">
        <is>
          <t>ADDRESS</t>
        </is>
      </c>
      <c r="E14" s="12" t="n"/>
      <c r="F14" s="11" t="inlineStr">
        <is>
          <t>:</t>
        </is>
      </c>
      <c r="G14" s="1" t="n"/>
      <c r="W14" s="1" t="n"/>
      <c r="X14" s="1" t="n"/>
      <c r="Y14" s="1" t="n"/>
    </row>
    <row r="15">
      <c r="E15" s="12" t="n"/>
      <c r="F15" s="12" t="n"/>
      <c r="G15" s="1" t="n"/>
      <c r="W15" s="1" t="n"/>
    </row>
    <row r="16">
      <c r="B16" s="1" t="inlineStr">
        <is>
          <t>b</t>
        </is>
      </c>
      <c r="C16" s="1" t="inlineStr">
        <is>
          <t xml:space="preserve">COVER NOTE/POLICY NO.     </t>
        </is>
      </c>
      <c r="E16" s="12" t="n"/>
      <c r="F16" s="11" t="inlineStr">
        <is>
          <t>:</t>
        </is>
      </c>
      <c r="G16" s="239" t="n"/>
      <c r="J16" s="8" t="inlineStr">
        <is>
          <t>Period:</t>
        </is>
      </c>
      <c r="K16" s="1" t="n"/>
      <c r="N16" s="11" t="n"/>
    </row>
    <row r="17" ht="12.75" customHeight="1"/>
    <row r="18">
      <c r="B18" s="11" t="inlineStr">
        <is>
          <t>c</t>
        </is>
      </c>
      <c r="C18" s="3" t="inlineStr">
        <is>
          <t>INSURED</t>
        </is>
      </c>
      <c r="E18" s="12" t="n"/>
      <c r="F18" s="11" t="inlineStr">
        <is>
          <t>:</t>
        </is>
      </c>
      <c r="G18" s="1" t="n"/>
    </row>
    <row r="19">
      <c r="A19" s="11" t="n"/>
      <c r="C19" s="1" t="inlineStr">
        <is>
          <t xml:space="preserve">ADDRESS </t>
        </is>
      </c>
      <c r="E19" s="12" t="n"/>
      <c r="F19" s="11" t="inlineStr">
        <is>
          <t>:</t>
        </is>
      </c>
      <c r="G19" s="246" t="n"/>
    </row>
    <row r="20">
      <c r="A20" s="11" t="n"/>
      <c r="C20" s="1" t="inlineStr">
        <is>
          <t>CONTACT NO.</t>
        </is>
      </c>
      <c r="E20" s="12" t="n"/>
      <c r="F20" s="11" t="inlineStr">
        <is>
          <t>:</t>
        </is>
      </c>
      <c r="G20" s="246" t="n"/>
    </row>
    <row r="21" ht="12.75" customHeight="1">
      <c r="A21" s="11" t="n"/>
      <c r="B21" s="3" t="n"/>
    </row>
    <row r="22">
      <c r="B22" s="11" t="inlineStr">
        <is>
          <t>d</t>
        </is>
      </c>
      <c r="C22" s="3" t="inlineStr">
        <is>
          <t>HPA WITH</t>
        </is>
      </c>
      <c r="E22" s="12" t="n"/>
      <c r="F22" s="11" t="inlineStr">
        <is>
          <t>:</t>
        </is>
      </c>
      <c r="G22" s="1" t="n"/>
    </row>
    <row r="23" ht="12.75" customHeight="1">
      <c r="A23" s="11" t="n"/>
      <c r="B23" s="3" t="n"/>
    </row>
    <row r="24">
      <c r="B24" s="11" t="n">
        <v>2</v>
      </c>
      <c r="C24" s="3" t="inlineStr">
        <is>
          <t>VEHICLE PARTICULARS</t>
        </is>
      </c>
      <c r="E24" s="12" t="n"/>
      <c r="F24" s="11" t="inlineStr">
        <is>
          <t>:</t>
        </is>
      </c>
      <c r="G24" s="3" t="inlineStr">
        <is>
          <t>RC Original Checked &amp; Found In Order</t>
        </is>
      </c>
    </row>
    <row r="25">
      <c r="B25" s="1" t="inlineStr">
        <is>
          <t>a</t>
        </is>
      </c>
      <c r="C25" s="1" t="inlineStr">
        <is>
          <t>Registration No.</t>
        </is>
      </c>
      <c r="E25" s="12" t="n"/>
      <c r="F25" s="11" t="inlineStr">
        <is>
          <t>:</t>
        </is>
      </c>
      <c r="G25" s="3" t="n"/>
      <c r="I25" s="3" t="n"/>
    </row>
    <row r="26">
      <c r="B26" s="1" t="inlineStr">
        <is>
          <t>b</t>
        </is>
      </c>
      <c r="C26" s="1" t="inlineStr">
        <is>
          <t>Date of Registration issue</t>
        </is>
      </c>
      <c r="E26" s="12" t="n"/>
      <c r="F26" s="11" t="inlineStr">
        <is>
          <t>:</t>
        </is>
      </c>
      <c r="G26" s="13" t="n"/>
    </row>
    <row r="27">
      <c r="B27" s="1" t="inlineStr">
        <is>
          <t>c</t>
        </is>
      </c>
      <c r="C27" s="1" t="inlineStr">
        <is>
          <t>Date of Registration expiry</t>
        </is>
      </c>
      <c r="E27" s="12" t="n"/>
      <c r="F27" s="11" t="inlineStr">
        <is>
          <t>:</t>
        </is>
      </c>
      <c r="G27" s="13" t="n"/>
    </row>
    <row r="28">
      <c r="C28" s="19" t="n"/>
      <c r="D28" s="20" t="n"/>
      <c r="E28" s="109" t="n"/>
      <c r="F28" s="110" t="n"/>
      <c r="G28" s="247" t="inlineStr">
        <is>
          <t>Physically Checked</t>
        </is>
      </c>
      <c r="H28" s="248" t="n"/>
      <c r="I28" s="249" t="inlineStr">
        <is>
          <t>As Per RC</t>
        </is>
      </c>
      <c r="J28" s="248" t="n"/>
      <c r="K28" s="111" t="inlineStr">
        <is>
          <t>As Per Ins.</t>
        </is>
      </c>
    </row>
    <row r="29">
      <c r="B29" s="1" t="inlineStr">
        <is>
          <t>d</t>
        </is>
      </c>
      <c r="C29" s="2" t="inlineStr">
        <is>
          <t>Chassis No</t>
        </is>
      </c>
      <c r="E29" s="12" t="n"/>
      <c r="F29" s="11" t="inlineStr">
        <is>
          <t>:</t>
        </is>
      </c>
      <c r="G29" s="105" t="n"/>
      <c r="H29" s="98" t="n"/>
      <c r="I29" s="249">
        <f>G29</f>
        <v/>
      </c>
      <c r="J29" s="248" t="n"/>
      <c r="K29" s="111">
        <f>G29</f>
        <v/>
      </c>
    </row>
    <row r="30">
      <c r="B30" s="1" t="inlineStr">
        <is>
          <t>e</t>
        </is>
      </c>
      <c r="C30" s="5" t="inlineStr">
        <is>
          <t>Engine No</t>
        </is>
      </c>
      <c r="D30" s="6" t="n"/>
      <c r="E30" s="107" t="n"/>
      <c r="F30" s="108" t="inlineStr">
        <is>
          <t>:</t>
        </is>
      </c>
      <c r="G30" s="247" t="n"/>
      <c r="H30" s="248" t="n"/>
      <c r="I30" s="113">
        <f>G30</f>
        <v/>
      </c>
      <c r="J30" s="103" t="n"/>
      <c r="K30" s="113">
        <f>G30</f>
        <v/>
      </c>
    </row>
    <row r="31">
      <c r="B31" s="1" t="inlineStr">
        <is>
          <t>f</t>
        </is>
      </c>
      <c r="C31" s="1" t="inlineStr">
        <is>
          <t>Make &amp; Year of Manufacturer</t>
        </is>
      </c>
      <c r="E31" s="3" t="n"/>
      <c r="F31" s="11" t="inlineStr">
        <is>
          <t>:</t>
        </is>
      </c>
      <c r="G31" s="3" t="n"/>
    </row>
    <row r="32">
      <c r="B32" s="1" t="inlineStr">
        <is>
          <t>g</t>
        </is>
      </c>
      <c r="C32" s="1" t="inlineStr">
        <is>
          <t>Type of Body</t>
        </is>
      </c>
      <c r="E32" s="12" t="n"/>
      <c r="F32" s="11" t="inlineStr">
        <is>
          <t>:</t>
        </is>
      </c>
      <c r="G32" s="1" t="n"/>
      <c r="M32" s="13" t="n"/>
    </row>
    <row r="33">
      <c r="B33" s="1" t="inlineStr">
        <is>
          <t>h</t>
        </is>
      </c>
      <c r="C33" s="1" t="inlineStr">
        <is>
          <t>Class of Vehicle</t>
        </is>
      </c>
      <c r="E33" s="12" t="n"/>
      <c r="F33" s="11" t="inlineStr">
        <is>
          <t>:</t>
        </is>
      </c>
      <c r="G33" s="1" t="n"/>
    </row>
    <row r="34">
      <c r="B34" s="1" t="inlineStr">
        <is>
          <t>i</t>
        </is>
      </c>
      <c r="C34" s="1" t="inlineStr">
        <is>
          <t>Pre-Accident Condition</t>
        </is>
      </c>
      <c r="E34" s="12" t="n"/>
      <c r="F34" s="11" t="inlineStr">
        <is>
          <t>:</t>
        </is>
      </c>
      <c r="G34" s="1" t="n"/>
    </row>
    <row r="35">
      <c r="B35" s="1" t="inlineStr">
        <is>
          <t>j</t>
        </is>
      </c>
      <c r="C35" s="1" t="inlineStr">
        <is>
          <t>Registered Laden Weight</t>
        </is>
      </c>
      <c r="E35" s="12" t="n"/>
      <c r="F35" s="11" t="inlineStr">
        <is>
          <t>:</t>
        </is>
      </c>
      <c r="G35" s="1" t="n"/>
    </row>
    <row r="36">
      <c r="B36" s="1" t="inlineStr">
        <is>
          <t>k</t>
        </is>
      </c>
      <c r="C36" s="1" t="inlineStr">
        <is>
          <t>Unladen Weight</t>
        </is>
      </c>
      <c r="E36" s="12" t="n"/>
      <c r="F36" s="11" t="inlineStr">
        <is>
          <t>:</t>
        </is>
      </c>
      <c r="G36" s="1" t="n"/>
    </row>
    <row r="37">
      <c r="B37" s="1" t="inlineStr">
        <is>
          <t>l</t>
        </is>
      </c>
      <c r="C37" s="1" t="inlineStr">
        <is>
          <t>Fitness Cert Valid Upto</t>
        </is>
      </c>
      <c r="E37" s="12" t="n"/>
      <c r="F37" s="11" t="inlineStr">
        <is>
          <t>:</t>
        </is>
      </c>
      <c r="G37" s="1" t="n"/>
    </row>
    <row r="38">
      <c r="C38" s="1" t="inlineStr">
        <is>
          <t>Permit No.</t>
        </is>
      </c>
      <c r="E38" s="12" t="n"/>
      <c r="F38" s="11" t="inlineStr">
        <is>
          <t>:</t>
        </is>
      </c>
      <c r="G38" s="1" t="n"/>
    </row>
    <row r="39">
      <c r="C39" s="1" t="inlineStr">
        <is>
          <t>Valid Upto</t>
        </is>
      </c>
      <c r="E39" s="12" t="n"/>
      <c r="F39" s="11" t="inlineStr">
        <is>
          <t>:</t>
        </is>
      </c>
      <c r="G39" s="1" t="n"/>
    </row>
    <row r="40">
      <c r="C40" s="1" t="inlineStr">
        <is>
          <t>Type of Permit</t>
        </is>
      </c>
      <c r="E40" s="12" t="n"/>
      <c r="F40" s="11" t="inlineStr">
        <is>
          <t>:</t>
        </is>
      </c>
      <c r="G40" s="1" t="n"/>
    </row>
    <row r="41">
      <c r="C41" s="1" t="inlineStr">
        <is>
          <t>Route/area of Operation</t>
        </is>
      </c>
      <c r="E41" s="12" t="n"/>
      <c r="F41" s="11" t="inlineStr">
        <is>
          <t>:</t>
        </is>
      </c>
      <c r="G41" s="1" t="n"/>
    </row>
    <row r="42">
      <c r="B42" s="1" t="inlineStr">
        <is>
          <t>m</t>
        </is>
      </c>
      <c r="C42" s="1" t="inlineStr">
        <is>
          <t xml:space="preserve">Seating Capacity </t>
        </is>
      </c>
      <c r="E42" s="12" t="n"/>
      <c r="F42" s="11" t="inlineStr">
        <is>
          <t>:</t>
        </is>
      </c>
      <c r="G42" s="13" t="n"/>
      <c r="P42" s="3" t="n"/>
    </row>
    <row r="43">
      <c r="B43" s="1" t="inlineStr">
        <is>
          <t>n</t>
        </is>
      </c>
      <c r="C43" s="1" t="inlineStr">
        <is>
          <t>Road Tax Paid Upto</t>
        </is>
      </c>
      <c r="E43" s="12" t="n"/>
      <c r="F43" s="11" t="inlineStr">
        <is>
          <t>:</t>
        </is>
      </c>
      <c r="G43" s="1" t="n"/>
      <c r="J43" s="86" t="n"/>
      <c r="K43" s="94" t="n"/>
      <c r="P43" s="3" t="n"/>
    </row>
    <row r="44">
      <c r="B44" s="1" t="inlineStr">
        <is>
          <t>o</t>
        </is>
      </c>
      <c r="C44" s="1" t="inlineStr">
        <is>
          <t>Name of Regd. Owner as per RC</t>
        </is>
      </c>
      <c r="E44" s="12" t="n"/>
      <c r="F44" s="11" t="inlineStr">
        <is>
          <t>:</t>
        </is>
      </c>
      <c r="G44" s="1">
        <f>G18</f>
        <v/>
      </c>
      <c r="J44" s="24" t="inlineStr">
        <is>
          <t>Colour:</t>
        </is>
      </c>
      <c r="K44" s="7" t="n"/>
      <c r="P44" s="3" t="n"/>
    </row>
    <row r="45" ht="12.75" customHeight="1">
      <c r="B45" s="1" t="inlineStr">
        <is>
          <t>p</t>
        </is>
      </c>
      <c r="C45" s="1" t="inlineStr">
        <is>
          <t>Cubic capacity</t>
        </is>
      </c>
      <c r="E45" s="15" t="n"/>
      <c r="F45" s="15" t="n"/>
      <c r="G45" s="13" t="n"/>
    </row>
    <row r="46">
      <c r="B46" s="11" t="n">
        <v>3</v>
      </c>
      <c r="C46" s="3" t="inlineStr">
        <is>
          <t>DRIVER'S PARTICULARS</t>
        </is>
      </c>
      <c r="E46" s="12" t="n"/>
      <c r="F46" s="11" t="inlineStr">
        <is>
          <t>:</t>
        </is>
      </c>
      <c r="G46" s="3" t="inlineStr">
        <is>
          <t>DL Original Checked &amp; Found In Order</t>
        </is>
      </c>
    </row>
    <row r="47">
      <c r="B47" s="1" t="inlineStr">
        <is>
          <t>a</t>
        </is>
      </c>
      <c r="C47" s="1" t="inlineStr">
        <is>
          <t>Name of Driver</t>
        </is>
      </c>
      <c r="E47" s="12" t="n"/>
      <c r="F47" s="11" t="inlineStr">
        <is>
          <t>:</t>
        </is>
      </c>
      <c r="G47" s="1" t="n"/>
      <c r="J47" s="8" t="inlineStr">
        <is>
          <t>DOB:</t>
        </is>
      </c>
      <c r="K47" s="1" t="n"/>
    </row>
    <row r="48">
      <c r="C48" s="1" t="inlineStr">
        <is>
          <t>Address</t>
        </is>
      </c>
      <c r="E48" s="12" t="n"/>
      <c r="F48" s="11" t="inlineStr">
        <is>
          <t>:</t>
        </is>
      </c>
      <c r="G48" s="246" t="n"/>
      <c r="J48" s="8" t="n"/>
    </row>
    <row r="49">
      <c r="B49" s="1" t="inlineStr">
        <is>
          <t> </t>
        </is>
      </c>
      <c r="C49" s="1" t="inlineStr">
        <is>
          <t>City/State</t>
        </is>
      </c>
      <c r="E49" s="12" t="n"/>
      <c r="F49" s="11" t="inlineStr">
        <is>
          <t>:</t>
        </is>
      </c>
      <c r="G49" s="13" t="n"/>
      <c r="J49" s="8" t="inlineStr">
        <is>
          <t> </t>
        </is>
      </c>
      <c r="K49" s="1" t="inlineStr">
        <is>
          <t> </t>
        </is>
      </c>
    </row>
    <row r="50">
      <c r="B50" s="1" t="inlineStr">
        <is>
          <t>b</t>
        </is>
      </c>
      <c r="C50" s="3" t="inlineStr">
        <is>
          <t xml:space="preserve">LICENCE NO. </t>
        </is>
      </c>
      <c r="E50" s="12" t="n"/>
      <c r="F50" s="11" t="inlineStr">
        <is>
          <t>:</t>
        </is>
      </c>
      <c r="G50" s="11" t="n"/>
      <c r="J50" s="3" t="n"/>
    </row>
    <row r="51">
      <c r="B51" s="1" t="inlineStr">
        <is>
          <t>c</t>
        </is>
      </c>
      <c r="C51" s="1" t="inlineStr">
        <is>
          <t>Date of issue</t>
        </is>
      </c>
      <c r="E51" s="12" t="n"/>
      <c r="F51" s="11" t="inlineStr">
        <is>
          <t>:</t>
        </is>
      </c>
      <c r="G51" s="1" t="n"/>
    </row>
    <row r="52">
      <c r="B52" s="1" t="inlineStr">
        <is>
          <t>d</t>
        </is>
      </c>
      <c r="C52" s="1" t="inlineStr">
        <is>
          <t>Valid Till</t>
        </is>
      </c>
      <c r="E52" s="12" t="n"/>
      <c r="F52" s="11" t="inlineStr">
        <is>
          <t>:</t>
        </is>
      </c>
      <c r="G52" s="246" t="n"/>
    </row>
    <row r="53">
      <c r="B53" s="1" t="inlineStr">
        <is>
          <t>e</t>
        </is>
      </c>
      <c r="C53" s="1" t="inlineStr">
        <is>
          <t>Issuing Authority</t>
        </is>
      </c>
      <c r="E53" s="12" t="n"/>
      <c r="F53" s="11" t="inlineStr">
        <is>
          <t>:</t>
        </is>
      </c>
      <c r="G53" s="13" t="n"/>
    </row>
    <row r="54">
      <c r="B54" s="1" t="inlineStr">
        <is>
          <t>f</t>
        </is>
      </c>
      <c r="C54" s="1" t="inlineStr">
        <is>
          <t>Type of Licence</t>
        </is>
      </c>
      <c r="E54" s="12" t="n"/>
      <c r="F54" s="11" t="inlineStr">
        <is>
          <t>:</t>
        </is>
      </c>
      <c r="G54" s="1" t="n"/>
    </row>
    <row r="55" ht="12.75" customHeight="1">
      <c r="E55" s="15" t="n"/>
      <c r="F55" s="13" t="n"/>
    </row>
    <row r="56">
      <c r="B56" s="11" t="n">
        <v>4</v>
      </c>
      <c r="C56" s="3" t="inlineStr">
        <is>
          <t>ACCIDENT HISTORY</t>
        </is>
      </c>
      <c r="E56" s="15" t="n"/>
      <c r="F56" s="15" t="n"/>
    </row>
    <row r="57">
      <c r="B57" s="1" t="inlineStr">
        <is>
          <t>a</t>
        </is>
      </c>
      <c r="C57" s="1" t="inlineStr">
        <is>
          <t>Date of Accident</t>
        </is>
      </c>
      <c r="E57" s="12" t="n"/>
      <c r="F57" s="11" t="inlineStr">
        <is>
          <t>:</t>
        </is>
      </c>
      <c r="G57" s="242" t="n"/>
      <c r="N57" s="3" t="n"/>
    </row>
    <row r="58">
      <c r="B58" s="1" t="inlineStr">
        <is>
          <t>b</t>
        </is>
      </c>
      <c r="C58" s="1" t="inlineStr">
        <is>
          <t>Place of Accident</t>
        </is>
      </c>
      <c r="E58" s="12" t="n"/>
      <c r="F58" s="11" t="inlineStr">
        <is>
          <t>:</t>
        </is>
      </c>
      <c r="G58" s="1" t="n"/>
    </row>
    <row r="59" ht="12.75" customHeight="1">
      <c r="F59" s="11" t="n"/>
    </row>
    <row r="60">
      <c r="B60" s="11" t="n">
        <v>5</v>
      </c>
      <c r="C60" s="3" t="inlineStr">
        <is>
          <t>DETAIL OF SURVEY</t>
        </is>
      </c>
      <c r="E60" s="15" t="n"/>
      <c r="F60" s="15" t="n"/>
    </row>
    <row r="61">
      <c r="C61" s="1" t="inlineStr">
        <is>
          <t>Date of Allotment of Survey</t>
        </is>
      </c>
      <c r="E61" s="12" t="n"/>
      <c r="F61" s="11" t="inlineStr">
        <is>
          <t>:</t>
        </is>
      </c>
      <c r="G61" s="1" t="n"/>
      <c r="H61" s="3" t="n"/>
    </row>
    <row r="62">
      <c r="C62" s="1" t="inlineStr">
        <is>
          <t>Date and Time of Survey</t>
        </is>
      </c>
      <c r="E62" s="12" t="n"/>
      <c r="F62" s="11" t="inlineStr">
        <is>
          <t>:</t>
        </is>
      </c>
      <c r="G62" s="1" t="n"/>
      <c r="H62" s="1" t="inlineStr">
        <is>
          <t xml:space="preserve">and onwards </t>
        </is>
      </c>
    </row>
    <row r="63">
      <c r="C63" s="1" t="inlineStr">
        <is>
          <t>Date of Spot Survey Report Recd.</t>
        </is>
      </c>
      <c r="E63" s="15" t="n"/>
      <c r="F63" s="11" t="inlineStr">
        <is>
          <t>:</t>
        </is>
      </c>
      <c r="G63" s="1" t="n"/>
    </row>
    <row r="64">
      <c r="C64" s="1" t="inlineStr">
        <is>
          <t>Person Present at the Time of Survey</t>
        </is>
      </c>
      <c r="E64" s="12" t="n"/>
      <c r="F64" s="11" t="inlineStr">
        <is>
          <t>:</t>
        </is>
      </c>
      <c r="G64" s="1" t="n"/>
    </row>
    <row r="65">
      <c r="E65" s="12" t="n"/>
      <c r="F65" s="11" t="n"/>
    </row>
    <row r="66">
      <c r="E66" s="12" t="n"/>
      <c r="F66" s="11" t="n"/>
    </row>
    <row r="67">
      <c r="B67" s="11" t="n">
        <v>6</v>
      </c>
      <c r="C67" s="3" t="inlineStr">
        <is>
          <t>PLACE OF SURVEY</t>
        </is>
      </c>
      <c r="E67" s="3" t="n"/>
      <c r="F67" s="11" t="n"/>
    </row>
    <row r="68">
      <c r="B68" s="11" t="n"/>
      <c r="C68" s="1" t="inlineStr">
        <is>
          <t>Workshop</t>
        </is>
      </c>
      <c r="E68" s="3" t="n"/>
      <c r="F68" s="11" t="inlineStr">
        <is>
          <t>:</t>
        </is>
      </c>
      <c r="G68" s="1" t="n"/>
    </row>
    <row r="69">
      <c r="B69" s="11" t="n"/>
      <c r="C69" s="1" t="inlineStr">
        <is>
          <t>Address</t>
        </is>
      </c>
      <c r="E69" s="3" t="n"/>
      <c r="F69" s="11" t="inlineStr">
        <is>
          <t>:</t>
        </is>
      </c>
      <c r="G69" s="1" t="n"/>
    </row>
    <row r="70">
      <c r="B70" s="11" t="n"/>
      <c r="C70" s="1" t="inlineStr">
        <is>
          <t>Status</t>
        </is>
      </c>
      <c r="E70" s="3" t="n"/>
      <c r="F70" s="11" t="inlineStr">
        <is>
          <t>:</t>
        </is>
      </c>
      <c r="G70" s="1" t="n"/>
    </row>
    <row r="72">
      <c r="B72" s="11" t="n">
        <v>7</v>
      </c>
      <c r="C72" s="3" t="inlineStr">
        <is>
          <t>FIR DETAIL</t>
        </is>
      </c>
      <c r="E72" s="12" t="n"/>
      <c r="F72" s="11" t="inlineStr">
        <is>
          <t>:</t>
        </is>
      </c>
      <c r="G72" s="1" t="n"/>
    </row>
    <row r="73">
      <c r="B73" s="11" t="n"/>
      <c r="C73" s="3" t="n"/>
      <c r="E73" s="3" t="n"/>
      <c r="F73" s="11" t="n"/>
    </row>
    <row r="74">
      <c r="B74" s="11" t="n">
        <v>8</v>
      </c>
      <c r="C74" s="3" t="inlineStr">
        <is>
          <t>INJURY/THIRD PARTY LOSS</t>
        </is>
      </c>
      <c r="E74" s="12" t="n"/>
      <c r="F74" s="11" t="inlineStr">
        <is>
          <t>:</t>
        </is>
      </c>
      <c r="G74" s="1" t="n"/>
    </row>
    <row r="76">
      <c r="B76" s="11" t="n">
        <v>9</v>
      </c>
      <c r="C76" s="3" t="inlineStr">
        <is>
          <t>CAUSE AND NATURE OF ACCIDENT</t>
        </is>
      </c>
      <c r="E76" s="15" t="n"/>
      <c r="F76" s="15" t="n"/>
    </row>
    <row r="77">
      <c r="B77" s="11" t="n"/>
      <c r="C77" s="1" t="inlineStr">
        <is>
          <t>As stated in the Claim Form,</t>
        </is>
      </c>
      <c r="E77" s="15" t="n"/>
      <c r="F77" s="15" t="n"/>
    </row>
    <row r="78" ht="28.5" customHeight="1">
      <c r="B78" s="11" t="n"/>
      <c r="C78" s="244" t="n"/>
    </row>
    <row r="80" ht="15" customHeight="1">
      <c r="B80" s="11" t="n">
        <v>10</v>
      </c>
      <c r="C80" s="3" t="inlineStr">
        <is>
          <t>OBERVATIONS/COMMENTS</t>
        </is>
      </c>
    </row>
    <row r="81" ht="40.5" customHeight="1">
      <c r="B81" s="11" t="n"/>
      <c r="C81" s="244" t="n"/>
    </row>
    <row r="82">
      <c r="A82" s="15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</row>
    <row r="83">
      <c r="B83" s="11" t="n">
        <v>11</v>
      </c>
      <c r="C83" s="3" t="inlineStr">
        <is>
          <t>MAIN DAMAGES</t>
        </is>
      </c>
      <c r="I83" s="3" t="n"/>
    </row>
    <row r="84">
      <c r="B84" s="11" t="n"/>
      <c r="C84" s="1" t="n"/>
      <c r="I84" s="3" t="n"/>
    </row>
    <row r="85">
      <c r="B85" s="11" t="n"/>
      <c r="I85" s="3" t="n"/>
    </row>
    <row r="86" ht="12.75" customHeight="1">
      <c r="B86" s="11" t="n">
        <v>12</v>
      </c>
      <c r="C86" s="3" t="inlineStr">
        <is>
          <t>NOTES:</t>
        </is>
      </c>
      <c r="I86" s="3" t="n"/>
    </row>
    <row r="87" ht="12.75" customHeight="1">
      <c r="B87" s="53" t="n">
        <v>1</v>
      </c>
      <c r="C87" s="1" t="n"/>
      <c r="I87" s="3" t="n"/>
    </row>
    <row r="88" ht="12.75" customHeight="1">
      <c r="B88" s="53" t="n">
        <v>2</v>
      </c>
      <c r="C88" s="1" t="inlineStr">
        <is>
          <t>The salvage of the vehicle has been destroyed/crushed in the presence of the Repairer.</t>
        </is>
      </c>
      <c r="I88" s="3" t="n"/>
    </row>
    <row r="89" ht="12.75" customHeight="1">
      <c r="B89" s="53" t="n">
        <v>3</v>
      </c>
      <c r="C89" s="1" t="inlineStr">
        <is>
          <t>Re-inspection too has been done by me. All the replacemnets of parts and repair job have been dully carried out.</t>
        </is>
      </c>
      <c r="I89" s="3" t="n"/>
    </row>
    <row r="90">
      <c r="B90" s="53" t="n">
        <v>4</v>
      </c>
      <c r="C90" s="3" t="inlineStr">
        <is>
          <t>Insured's vehicle has NIL DEP Policy.</t>
        </is>
      </c>
      <c r="I90" s="3" t="n"/>
    </row>
    <row r="91">
      <c r="B91" s="53" t="n"/>
      <c r="C91" s="3" t="n"/>
      <c r="I91" s="3" t="n"/>
    </row>
    <row r="92">
      <c r="B92" s="11" t="n">
        <v>13</v>
      </c>
      <c r="C92" s="3" t="inlineStr">
        <is>
          <t>DETAIL OF ASSESSMENT</t>
        </is>
      </c>
    </row>
    <row r="93">
      <c r="B93" s="3" t="n"/>
      <c r="E93" s="6" t="n"/>
    </row>
    <row r="94">
      <c r="B94" s="19" t="n"/>
      <c r="C94" s="20" t="n"/>
      <c r="D94" s="20" t="inlineStr">
        <is>
          <t>COMPULSORY DEDUCTIBLE</t>
        </is>
      </c>
      <c r="E94" s="20" t="n"/>
      <c r="F94" s="21" t="n"/>
      <c r="G94" s="20" t="n"/>
      <c r="H94" s="20" t="n"/>
      <c r="I94" s="20" t="n"/>
      <c r="J94" s="22" t="n">
        <v>500</v>
      </c>
    </row>
    <row r="95">
      <c r="B95" s="2" t="inlineStr">
        <is>
          <t>LIFE OF VEHICLE ( IN YEARS )</t>
        </is>
      </c>
      <c r="E95" s="6" t="n"/>
      <c r="F95" s="250">
        <f>E261</f>
        <v/>
      </c>
      <c r="G95" s="1" t="inlineStr">
        <is>
          <t>SO, DEP. ON METAL (IN %)</t>
        </is>
      </c>
      <c r="J95" s="4">
        <f>IF(F95&lt;0.5,0,IF(F95&lt;1,5,IF(F95&lt;2,10,IF(F95&lt;3,15,IF(F95&lt;4,25,IF(F95&lt;5,35,IF(F95&lt;10,40,50)))))))</f>
        <v/>
      </c>
    </row>
    <row r="96">
      <c r="B96" s="19" t="inlineStr">
        <is>
          <t>GSTIN (IN %) FOR PARTS</t>
        </is>
      </c>
      <c r="C96" s="20" t="n"/>
      <c r="D96" s="20" t="n"/>
      <c r="F96" s="115" t="n">
        <v>18</v>
      </c>
      <c r="G96" s="20" t="inlineStr">
        <is>
          <t>GSTIN (IN %) FOR LABOUR</t>
        </is>
      </c>
      <c r="H96" s="20" t="n"/>
      <c r="I96" s="20" t="n"/>
      <c r="J96" s="114" t="n">
        <v>18</v>
      </c>
    </row>
    <row r="97">
      <c r="B97" s="62" t="n"/>
      <c r="C97" s="62" t="n"/>
      <c r="D97" s="62" t="n"/>
      <c r="E97" s="62" t="n"/>
      <c r="F97" s="62" t="n"/>
      <c r="G97" s="62" t="n"/>
    </row>
    <row r="98">
      <c r="B98" s="6" t="n"/>
      <c r="C98" s="6" t="n"/>
      <c r="D98" s="6" t="n"/>
      <c r="E98" s="6" t="n"/>
      <c r="F98" s="6" t="n"/>
      <c r="G98" s="6" t="inlineStr">
        <is>
          <t>GST 18%</t>
        </is>
      </c>
      <c r="H98" s="6" t="inlineStr">
        <is>
          <t>GST 18%</t>
        </is>
      </c>
      <c r="I98" s="6" t="inlineStr">
        <is>
          <t>GST 18%</t>
        </is>
      </c>
    </row>
    <row r="99">
      <c r="B99" s="24" t="inlineStr">
        <is>
          <t>S.N.</t>
        </is>
      </c>
      <c r="C99" s="24" t="inlineStr">
        <is>
          <t>Part Discription</t>
        </is>
      </c>
      <c r="D99" s="6" t="n"/>
      <c r="E99" s="7" t="n"/>
      <c r="F99" s="48" t="inlineStr">
        <is>
          <t>Estimated</t>
        </is>
      </c>
      <c r="G99" s="48" t="inlineStr">
        <is>
          <t>Metal</t>
        </is>
      </c>
      <c r="H99" s="48" t="inlineStr">
        <is>
          <t>Plastic</t>
        </is>
      </c>
      <c r="I99" s="177" t="inlineStr">
        <is>
          <t>Glass</t>
        </is>
      </c>
      <c r="J99" s="8" t="inlineStr">
        <is>
          <t>extra</t>
        </is>
      </c>
    </row>
    <row r="100">
      <c r="B100" s="105" t="n"/>
      <c r="C100" s="1" t="n"/>
      <c r="E100" s="4" t="n"/>
      <c r="F100" s="26" t="n"/>
      <c r="G100" s="26" t="n"/>
      <c r="H100" s="26" t="n"/>
      <c r="I100" s="26" t="n"/>
      <c r="K100" s="13" t="n"/>
    </row>
    <row r="101">
      <c r="B101" s="76" t="n"/>
      <c r="C101" s="1" t="n"/>
      <c r="E101" s="4" t="n"/>
      <c r="F101" s="26" t="n"/>
      <c r="G101" s="26" t="n"/>
      <c r="H101" s="26" t="n"/>
      <c r="I101" s="26" t="n"/>
      <c r="K101" s="13" t="n"/>
    </row>
    <row r="102">
      <c r="B102" s="76" t="n"/>
      <c r="C102" s="1" t="n"/>
      <c r="E102" s="4" t="n"/>
      <c r="F102" s="26" t="n"/>
      <c r="G102" s="26" t="n"/>
      <c r="H102" s="26" t="n"/>
      <c r="I102" s="26" t="n"/>
      <c r="K102" s="13" t="n"/>
    </row>
    <row r="103">
      <c r="B103" s="76" t="n"/>
      <c r="C103" s="1" t="n"/>
      <c r="E103" s="4" t="n"/>
      <c r="F103" s="26" t="n"/>
      <c r="G103" s="26" t="n"/>
      <c r="H103" s="26" t="n"/>
      <c r="I103" s="26" t="n"/>
      <c r="K103" s="13" t="n"/>
    </row>
    <row r="104">
      <c r="B104" s="76" t="n"/>
      <c r="C104" s="1" t="n"/>
      <c r="E104" s="4" t="n"/>
      <c r="F104" s="26" t="n"/>
      <c r="G104" s="26" t="n"/>
      <c r="H104" s="26" t="n"/>
      <c r="I104" s="26" t="n"/>
      <c r="K104" s="13" t="n"/>
    </row>
    <row r="105">
      <c r="B105" s="76" t="n"/>
      <c r="C105" s="1" t="n"/>
      <c r="E105" s="4" t="n"/>
      <c r="F105" s="26" t="n"/>
      <c r="G105" s="26" t="n"/>
      <c r="H105" s="26" t="n"/>
      <c r="I105" s="26" t="n"/>
      <c r="K105" s="13" t="n"/>
    </row>
    <row r="106">
      <c r="B106" s="76" t="n"/>
      <c r="C106" s="1" t="n"/>
      <c r="E106" s="4" t="n"/>
      <c r="F106" s="26" t="n"/>
      <c r="G106" s="26" t="n"/>
      <c r="H106" s="26" t="n"/>
      <c r="I106" s="26" t="n"/>
      <c r="K106" s="13" t="n"/>
    </row>
    <row r="107">
      <c r="B107" s="76" t="n"/>
      <c r="C107" s="1" t="n"/>
      <c r="E107" s="4" t="n"/>
      <c r="F107" s="26" t="n"/>
      <c r="G107" s="26" t="n"/>
      <c r="H107" s="26" t="n"/>
      <c r="I107" s="26" t="n"/>
      <c r="K107" s="13" t="n"/>
    </row>
    <row r="108">
      <c r="B108" s="76" t="n"/>
      <c r="C108" s="1" t="n"/>
      <c r="E108" s="4" t="n"/>
      <c r="F108" s="26" t="n"/>
      <c r="G108" s="26" t="n"/>
      <c r="H108" s="26" t="n"/>
      <c r="I108" s="26" t="n"/>
      <c r="K108" s="13" t="n"/>
    </row>
    <row r="109">
      <c r="B109" s="76" t="n"/>
      <c r="C109" s="1" t="n"/>
      <c r="E109" s="4" t="n"/>
      <c r="F109" s="26" t="n"/>
      <c r="G109" s="26" t="n"/>
      <c r="H109" s="26" t="n"/>
      <c r="I109" s="26" t="n"/>
      <c r="K109" s="13" t="n"/>
    </row>
    <row r="110">
      <c r="B110" s="76" t="n"/>
      <c r="C110" s="1" t="n"/>
      <c r="E110" s="4" t="n"/>
      <c r="F110" s="26" t="n"/>
      <c r="G110" s="26" t="n"/>
      <c r="H110" s="26" t="n"/>
      <c r="I110" s="26" t="n"/>
      <c r="K110" s="13" t="n"/>
    </row>
    <row r="111">
      <c r="B111" s="76" t="n"/>
      <c r="C111" s="1" t="n"/>
      <c r="E111" s="4" t="n"/>
      <c r="F111" s="26" t="n"/>
      <c r="G111" s="26" t="n"/>
      <c r="H111" s="26" t="n"/>
      <c r="I111" s="26" t="n"/>
      <c r="K111" s="13" t="n"/>
    </row>
    <row r="112">
      <c r="B112" s="76" t="n"/>
      <c r="C112" s="1" t="n"/>
      <c r="E112" s="4" t="n"/>
      <c r="F112" s="26" t="n"/>
      <c r="G112" s="26" t="n"/>
      <c r="H112" s="26" t="n"/>
      <c r="I112" s="26" t="n"/>
      <c r="K112" s="13" t="n"/>
    </row>
    <row r="113">
      <c r="B113" s="76" t="n"/>
      <c r="C113" s="1" t="n"/>
      <c r="E113" s="4" t="n"/>
      <c r="F113" s="26" t="n"/>
      <c r="G113" s="26" t="n"/>
      <c r="H113" s="26" t="n"/>
      <c r="I113" s="26" t="n"/>
      <c r="K113" s="13" t="n"/>
    </row>
    <row r="114">
      <c r="B114" s="76" t="n"/>
      <c r="C114" s="1" t="n"/>
      <c r="E114" s="4" t="n"/>
      <c r="F114" s="26" t="n"/>
      <c r="G114" s="26" t="n"/>
      <c r="H114" s="26" t="n"/>
      <c r="I114" s="26" t="n"/>
      <c r="K114" s="13" t="n"/>
    </row>
    <row r="115">
      <c r="B115" s="76" t="n"/>
      <c r="C115" s="1" t="n"/>
      <c r="E115" s="4" t="n"/>
      <c r="F115" s="26" t="n"/>
      <c r="G115" s="26" t="n"/>
      <c r="H115" s="26" t="n"/>
      <c r="I115" s="26" t="n"/>
      <c r="K115" s="13" t="n"/>
    </row>
    <row r="116">
      <c r="B116" s="76" t="n"/>
      <c r="C116" s="1" t="n"/>
      <c r="E116" s="4" t="n"/>
      <c r="F116" s="26" t="n"/>
      <c r="G116" s="26" t="n"/>
      <c r="H116" s="26" t="n"/>
      <c r="I116" s="26" t="n"/>
      <c r="K116" s="13" t="n"/>
    </row>
    <row r="117">
      <c r="B117" s="76" t="n"/>
      <c r="C117" s="1" t="n"/>
      <c r="E117" s="4" t="n"/>
      <c r="F117" s="26" t="n"/>
      <c r="G117" s="26" t="n"/>
      <c r="H117" s="26" t="n"/>
      <c r="I117" s="26" t="n"/>
      <c r="K117" s="13" t="n"/>
    </row>
    <row r="118">
      <c r="B118" s="76" t="n"/>
      <c r="C118" s="1" t="n"/>
      <c r="E118" s="4" t="n"/>
      <c r="F118" s="26" t="n"/>
      <c r="G118" s="26" t="n"/>
      <c r="H118" s="26" t="n"/>
      <c r="I118" s="26" t="n"/>
      <c r="K118" s="13" t="n"/>
    </row>
    <row r="119">
      <c r="B119" s="76" t="n"/>
      <c r="C119" s="1" t="n"/>
      <c r="E119" s="4" t="n"/>
      <c r="F119" s="26" t="n"/>
      <c r="G119" s="26" t="n"/>
      <c r="H119" s="26" t="n"/>
      <c r="I119" s="26" t="n"/>
      <c r="K119" s="13" t="n"/>
    </row>
    <row r="120">
      <c r="B120" s="76" t="n"/>
      <c r="C120" s="1" t="n"/>
      <c r="E120" s="4" t="n"/>
      <c r="F120" s="26" t="n"/>
      <c r="G120" s="26" t="n"/>
      <c r="H120" s="26" t="n"/>
      <c r="I120" s="26" t="n"/>
      <c r="K120" s="13" t="n"/>
    </row>
    <row r="121">
      <c r="B121" s="76" t="n"/>
      <c r="C121" s="1" t="n"/>
      <c r="E121" s="4" t="n"/>
      <c r="F121" s="26" t="n"/>
      <c r="G121" s="26" t="n"/>
      <c r="H121" s="26" t="n"/>
      <c r="I121" s="26" t="n"/>
      <c r="K121" s="13" t="n"/>
    </row>
    <row r="122">
      <c r="B122" s="76" t="n"/>
      <c r="C122" s="1" t="n"/>
      <c r="E122" s="4" t="n"/>
      <c r="F122" s="26" t="n"/>
      <c r="G122" s="26" t="n"/>
      <c r="H122" s="26" t="n"/>
      <c r="I122" s="26" t="n"/>
      <c r="K122" s="13" t="n"/>
    </row>
    <row r="123">
      <c r="B123" s="76" t="n"/>
      <c r="C123" s="1" t="n"/>
      <c r="E123" s="4" t="n"/>
      <c r="F123" s="26" t="n"/>
      <c r="G123" s="26" t="n"/>
      <c r="H123" s="26" t="n"/>
      <c r="I123" s="26" t="n"/>
      <c r="K123" s="13" t="n"/>
    </row>
    <row r="124">
      <c r="B124" s="76" t="n"/>
      <c r="C124" s="1" t="n"/>
      <c r="E124" s="4" t="n"/>
      <c r="F124" s="26" t="n"/>
      <c r="G124" s="26" t="n"/>
      <c r="H124" s="26" t="n"/>
      <c r="I124" s="26" t="n"/>
      <c r="K124" s="13" t="n"/>
    </row>
    <row r="125">
      <c r="B125" s="76" t="n"/>
      <c r="C125" s="1" t="n"/>
      <c r="E125" s="4" t="n"/>
      <c r="F125" s="26" t="n"/>
      <c r="G125" s="26" t="n"/>
      <c r="H125" s="26" t="n"/>
      <c r="I125" s="26" t="n"/>
      <c r="K125" s="13" t="n"/>
    </row>
    <row r="126">
      <c r="B126" s="76" t="n"/>
      <c r="C126" s="1" t="n"/>
      <c r="E126" s="4" t="n"/>
      <c r="F126" s="26" t="n"/>
      <c r="G126" s="26" t="n"/>
      <c r="H126" s="26" t="n"/>
      <c r="I126" s="26" t="n"/>
      <c r="K126" s="13" t="n"/>
    </row>
    <row r="127">
      <c r="B127" s="76" t="n"/>
      <c r="C127" s="1" t="n"/>
      <c r="E127" s="4" t="n"/>
      <c r="F127" s="26" t="n"/>
      <c r="G127" s="26" t="n"/>
      <c r="H127" s="26" t="n"/>
      <c r="I127" s="26" t="n"/>
      <c r="K127" s="13" t="n"/>
    </row>
    <row r="128">
      <c r="B128" s="76" t="n"/>
      <c r="C128" s="1" t="n"/>
      <c r="E128" s="4" t="n"/>
      <c r="F128" s="26" t="n"/>
      <c r="G128" s="26" t="n"/>
      <c r="H128" s="26" t="n"/>
      <c r="I128" s="26" t="n"/>
      <c r="K128" s="13" t="n"/>
    </row>
    <row r="129">
      <c r="B129" s="76" t="n"/>
      <c r="C129" s="1" t="n"/>
      <c r="E129" s="4" t="n"/>
      <c r="F129" s="26" t="n"/>
      <c r="G129" s="26" t="n"/>
      <c r="H129" s="26" t="n"/>
      <c r="I129" s="26" t="n"/>
      <c r="K129" s="13" t="n"/>
    </row>
    <row r="130">
      <c r="B130" s="76" t="n"/>
      <c r="C130" s="1" t="n"/>
      <c r="E130" s="4" t="n"/>
      <c r="F130" s="26" t="n"/>
      <c r="G130" s="26" t="n"/>
      <c r="H130" s="26" t="n"/>
      <c r="I130" s="26" t="n"/>
      <c r="K130" s="13" t="n"/>
    </row>
    <row r="131">
      <c r="B131" s="76" t="n"/>
      <c r="C131" s="1" t="n"/>
      <c r="E131" s="4" t="n"/>
      <c r="F131" s="26" t="n"/>
      <c r="G131" s="26" t="n"/>
      <c r="H131" s="26" t="n"/>
      <c r="I131" s="26" t="n"/>
      <c r="K131" s="13" t="n"/>
    </row>
    <row r="132">
      <c r="B132" s="76" t="n"/>
      <c r="C132" s="1" t="n"/>
      <c r="E132" s="4" t="n"/>
      <c r="F132" s="26" t="n"/>
      <c r="G132" s="26" t="n"/>
      <c r="H132" s="26" t="n"/>
      <c r="I132" s="26" t="n"/>
      <c r="K132" s="13" t="n"/>
    </row>
    <row r="133">
      <c r="B133" s="76" t="n"/>
      <c r="C133" s="1" t="n"/>
      <c r="E133" s="4" t="n"/>
      <c r="F133" s="26" t="n"/>
      <c r="G133" s="26" t="n"/>
      <c r="H133" s="26" t="n"/>
      <c r="I133" s="26" t="n"/>
      <c r="K133" s="13" t="n"/>
    </row>
    <row r="134">
      <c r="B134" s="106" t="n"/>
      <c r="C134" s="47" t="n"/>
      <c r="D134" s="47" t="n"/>
      <c r="E134" s="89" t="n"/>
      <c r="F134" s="27" t="n"/>
      <c r="G134" s="90" t="n"/>
      <c r="H134" s="91" t="n"/>
      <c r="I134" s="90" t="n"/>
      <c r="J134" s="64" t="n"/>
    </row>
    <row r="135">
      <c r="B135" s="2" t="inlineStr">
        <is>
          <t>SUB TOTAL</t>
        </is>
      </c>
      <c r="E135" s="4" t="n"/>
      <c r="F135" s="26">
        <f>SUM(F100:F134)</f>
        <v/>
      </c>
      <c r="G135" s="33">
        <f>SUM(G100:G134)</f>
        <v/>
      </c>
      <c r="H135" s="25">
        <f>SUM(H100:H134)</f>
        <v/>
      </c>
      <c r="I135" s="25">
        <f>SUM(I100:I134)</f>
        <v/>
      </c>
      <c r="J135" s="32" t="n"/>
      <c r="M135" s="32" t="n"/>
    </row>
    <row r="136">
      <c r="A136" s="4" t="n"/>
      <c r="B136" s="116" t="n">
        <v>18</v>
      </c>
      <c r="C136" s="6" t="inlineStr">
        <is>
          <t>% ADD GST (9%CGST+9%SGST)</t>
        </is>
      </c>
      <c r="D136" s="6" t="n"/>
      <c r="E136" s="7" t="n"/>
      <c r="F136" s="31">
        <f>B136*F135/100</f>
        <v/>
      </c>
      <c r="G136" s="49">
        <f>B136*G135/100</f>
        <v/>
      </c>
      <c r="H136" s="31">
        <f>B136*H135/100</f>
        <v/>
      </c>
      <c r="I136" s="31">
        <f>18*I135/100</f>
        <v/>
      </c>
      <c r="J136" s="32" t="n"/>
      <c r="M136" s="32" t="n"/>
    </row>
    <row r="137" ht="12" customHeight="1">
      <c r="B137" s="2" t="inlineStr">
        <is>
          <t>SUB TOTAL</t>
        </is>
      </c>
      <c r="F137" s="33">
        <f>SUM(F135:F136)</f>
        <v/>
      </c>
      <c r="G137" s="33">
        <f>SUM(G135:G136)</f>
        <v/>
      </c>
      <c r="H137" s="33">
        <f>SUM(H135:H136)</f>
        <v/>
      </c>
      <c r="I137" s="25">
        <f>SUM(I135:I136)</f>
        <v/>
      </c>
      <c r="J137" s="32" t="n"/>
    </row>
    <row r="138" ht="12" customHeight="1">
      <c r="B138" s="14" t="inlineStr">
        <is>
          <t>LESS DEPRECIATION:</t>
        </is>
      </c>
      <c r="F138" s="33" t="n"/>
      <c r="G138" s="33" t="n"/>
      <c r="H138" s="33" t="n"/>
      <c r="I138" s="25" t="n"/>
    </row>
    <row r="139">
      <c r="B139" s="5">
        <f>J95</f>
        <v/>
      </c>
      <c r="C139" s="6" t="inlineStr">
        <is>
          <t>% OF METAL &amp; 50% OF PLASTIC</t>
        </is>
      </c>
      <c r="D139" s="6" t="n"/>
      <c r="E139" s="7" t="n"/>
      <c r="F139" s="30" t="n"/>
      <c r="G139" s="30">
        <f>B139*G137/100</f>
        <v/>
      </c>
      <c r="H139" s="30">
        <f>H137/2</f>
        <v/>
      </c>
      <c r="I139" s="25" t="n">
        <v>0</v>
      </c>
      <c r="J139" s="32" t="n"/>
    </row>
    <row r="140">
      <c r="B140" s="19" t="inlineStr">
        <is>
          <t>NET FOR PARTS</t>
        </is>
      </c>
      <c r="C140" s="20" t="n"/>
      <c r="D140" s="20" t="n"/>
      <c r="E140" s="22" t="n"/>
      <c r="F140" s="34">
        <f>F137</f>
        <v/>
      </c>
      <c r="G140" s="35">
        <f>G137-G139</f>
        <v/>
      </c>
      <c r="H140" s="34">
        <f>H137-H139</f>
        <v/>
      </c>
      <c r="I140" s="35">
        <f>I137-I139</f>
        <v/>
      </c>
      <c r="J140" s="32" t="n"/>
    </row>
    <row r="141">
      <c r="B141" s="24" t="inlineStr">
        <is>
          <t>TOTAL NET FOR PARTS</t>
        </is>
      </c>
      <c r="C141" s="6" t="n"/>
      <c r="D141" s="20" t="n"/>
      <c r="E141" s="36" t="n"/>
      <c r="F141" s="37">
        <f>F140</f>
        <v/>
      </c>
      <c r="G141" s="38">
        <f>G140+H140+I140+J140</f>
        <v/>
      </c>
      <c r="H141" s="39" t="n"/>
      <c r="I141" s="22" t="n"/>
    </row>
    <row r="142">
      <c r="B142" s="3" t="n"/>
      <c r="F142" s="64" t="n"/>
      <c r="G142" s="64" t="n"/>
    </row>
    <row r="143">
      <c r="B143" s="3" t="inlineStr">
        <is>
          <t>TOTAL AMOUNT OF DEPRECIATION (In Rs):</t>
        </is>
      </c>
      <c r="G143" s="52">
        <f>G139+H139+J139+I139</f>
        <v/>
      </c>
    </row>
    <row r="144" ht="12.75" customHeight="1">
      <c r="I144" s="3" t="n"/>
    </row>
    <row r="145" ht="12.75" customHeight="1">
      <c r="I145" s="3" t="n"/>
    </row>
    <row r="146" ht="12.75" customHeight="1">
      <c r="I146" s="3" t="n"/>
    </row>
    <row r="147" ht="12.75" customHeight="1">
      <c r="I147" s="3" t="n"/>
    </row>
    <row r="148" ht="12.75" customHeight="1">
      <c r="I148" s="3" t="n"/>
      <c r="M148" s="1" t="n"/>
    </row>
    <row r="149" ht="12.75" customHeight="1">
      <c r="I149" s="3" t="n"/>
      <c r="M149" s="1" t="n"/>
    </row>
    <row r="150" ht="12.75" customHeight="1">
      <c r="I150" s="3" t="n"/>
    </row>
    <row r="151" ht="12.75" customHeight="1">
      <c r="I151" s="3" t="n"/>
    </row>
    <row r="152" ht="12.75" customHeight="1">
      <c r="B152" s="10" t="inlineStr">
        <is>
          <t>LABOUR DETAIL</t>
        </is>
      </c>
      <c r="G152" s="52" t="n"/>
    </row>
    <row r="153" ht="12.75" customHeight="1">
      <c r="G153" s="52" t="n"/>
    </row>
    <row r="154" ht="12.75" customHeight="1">
      <c r="B154" s="42" t="inlineStr">
        <is>
          <t>LABOUR ESTIMATED</t>
        </is>
      </c>
      <c r="C154" s="20" t="n"/>
      <c r="D154" s="20" t="n"/>
      <c r="E154" s="20" t="n"/>
      <c r="F154" s="20" t="n"/>
      <c r="G154" s="70" t="n"/>
      <c r="H154" s="20" t="n"/>
      <c r="I154" s="43" t="n"/>
    </row>
    <row r="155" ht="12.75" customHeight="1">
      <c r="B155" s="71" t="inlineStr">
        <is>
          <t>S.N.</t>
        </is>
      </c>
      <c r="C155" s="72" t="inlineStr">
        <is>
          <t>DESCRIPTION</t>
        </is>
      </c>
      <c r="D155" s="20" t="n"/>
      <c r="E155" s="22" t="n"/>
      <c r="F155" s="93" t="inlineStr">
        <is>
          <t>R/R</t>
        </is>
      </c>
      <c r="G155" s="73" t="inlineStr">
        <is>
          <t>DENTING</t>
        </is>
      </c>
      <c r="H155" s="74" t="inlineStr">
        <is>
          <t>C/W</t>
        </is>
      </c>
      <c r="I155" s="75" t="inlineStr">
        <is>
          <t>PAINTING</t>
        </is>
      </c>
    </row>
    <row r="156" ht="12.75" customHeight="1">
      <c r="B156" s="76" t="n"/>
      <c r="C156" s="1" t="n"/>
      <c r="F156" s="79" t="n"/>
      <c r="G156" s="77" t="n"/>
      <c r="H156" s="78" t="n"/>
      <c r="I156" s="79" t="n"/>
    </row>
    <row r="157" ht="12.75" customHeight="1">
      <c r="B157" s="76" t="n"/>
      <c r="F157" s="153" t="n"/>
      <c r="G157" s="77" t="n"/>
      <c r="H157" s="78" t="n"/>
      <c r="I157" s="153" t="n"/>
    </row>
    <row r="158" ht="12.75" customHeight="1">
      <c r="B158" s="76" t="n"/>
      <c r="F158" s="153" t="n"/>
      <c r="G158" s="77" t="n"/>
      <c r="H158" s="78" t="n"/>
      <c r="I158" s="153" t="n"/>
    </row>
    <row r="159" ht="12.75" customHeight="1">
      <c r="B159" s="76" t="n"/>
      <c r="F159" s="153" t="n"/>
      <c r="G159" s="77" t="n"/>
      <c r="H159" s="78" t="n"/>
      <c r="I159" s="153" t="n"/>
    </row>
    <row r="160" ht="12.75" customHeight="1">
      <c r="B160" s="76" t="n"/>
      <c r="F160" s="92" t="n"/>
      <c r="G160" s="77" t="n"/>
      <c r="H160" s="78" t="n"/>
      <c r="I160" s="92" t="n"/>
    </row>
    <row r="161" ht="12.75" customHeight="1">
      <c r="B161" s="86" t="inlineStr">
        <is>
          <t>SUB TOTAL</t>
        </is>
      </c>
      <c r="C161" s="62" t="n"/>
      <c r="D161" s="62" t="n"/>
      <c r="E161" s="62" t="n"/>
      <c r="F161" s="25">
        <f>SUM(F156:F160)</f>
        <v/>
      </c>
      <c r="G161" s="66">
        <f>SUM(G156:G160)</f>
        <v/>
      </c>
      <c r="H161" s="68">
        <f>SUM(H156:H160)</f>
        <v/>
      </c>
      <c r="I161" s="26">
        <f>SUM(I156:I160)</f>
        <v/>
      </c>
    </row>
    <row r="162" ht="12.75" customHeight="1">
      <c r="B162" s="5" t="n"/>
      <c r="C162" s="6" t="n"/>
      <c r="D162" s="6" t="n"/>
      <c r="E162" s="6" t="n"/>
      <c r="F162" s="31" t="n"/>
      <c r="G162" s="28" t="n"/>
      <c r="H162" s="31" t="n"/>
      <c r="I162" s="27" t="n"/>
    </row>
    <row r="163" ht="12.75" customHeight="1">
      <c r="A163" s="4" t="n"/>
      <c r="B163" s="42" t="inlineStr">
        <is>
          <t>SUB TOTAL</t>
        </is>
      </c>
      <c r="C163" s="20" t="n"/>
      <c r="D163" s="20" t="n"/>
      <c r="E163" s="20" t="n"/>
      <c r="F163" s="35">
        <f>F161</f>
        <v/>
      </c>
      <c r="G163" s="61">
        <f>G161</f>
        <v/>
      </c>
      <c r="H163" s="68">
        <f>H161</f>
        <v/>
      </c>
      <c r="I163" s="29">
        <f>I161-I162</f>
        <v/>
      </c>
    </row>
    <row r="164" ht="12.75" customHeight="1">
      <c r="B164" s="24" t="n"/>
      <c r="C164" s="6" t="n"/>
      <c r="D164" s="47" t="inlineStr">
        <is>
          <t>TOTAL (R/R, DENTING, C/W, PAINTING)</t>
        </is>
      </c>
      <c r="E164" s="6" t="n"/>
      <c r="F164" s="28" t="n"/>
      <c r="G164" s="28" t="n"/>
      <c r="H164" s="81">
        <f>F163+G163+H163+I163</f>
        <v/>
      </c>
      <c r="I164" s="82" t="n"/>
    </row>
    <row r="165" ht="12.75" customHeight="1">
      <c r="B165" s="83" t="n"/>
      <c r="C165" s="62" t="n"/>
      <c r="D165" s="62" t="n"/>
      <c r="E165" s="62" t="n"/>
      <c r="F165" s="66" t="n"/>
      <c r="G165" s="66" t="n"/>
      <c r="H165" s="32" t="n"/>
      <c r="I165" s="32" t="n"/>
    </row>
    <row r="166" ht="12.75" customHeight="1">
      <c r="B166" s="42" t="inlineStr">
        <is>
          <t xml:space="preserve">LABOUR </t>
        </is>
      </c>
      <c r="C166" s="20" t="n"/>
      <c r="D166" s="20" t="n"/>
      <c r="E166" s="20" t="n"/>
      <c r="F166" s="80" t="n"/>
      <c r="G166" s="80" t="n"/>
      <c r="H166" s="84" t="inlineStr">
        <is>
          <t>Estimated</t>
        </is>
      </c>
      <c r="I166" s="84" t="inlineStr">
        <is>
          <t>Assessed</t>
        </is>
      </c>
    </row>
    <row r="167" ht="12.75" customHeight="1">
      <c r="B167" s="14" t="n"/>
      <c r="F167" s="32" t="n"/>
      <c r="G167" s="32" t="n"/>
      <c r="H167" s="25">
        <f>I154</f>
        <v/>
      </c>
      <c r="I167" s="25">
        <f>H164</f>
        <v/>
      </c>
    </row>
    <row r="168" ht="12.75" customHeight="1">
      <c r="B168" s="117">
        <f>J96</f>
        <v/>
      </c>
      <c r="C168" s="6" t="inlineStr">
        <is>
          <t>% ADD GST (9%CGST+9%SGST)</t>
        </is>
      </c>
      <c r="F168" s="32" t="n"/>
      <c r="G168" s="32" t="n"/>
      <c r="H168" s="25">
        <f>B168*H167/100</f>
        <v/>
      </c>
      <c r="I168" s="25">
        <f>B168*I167/100</f>
        <v/>
      </c>
    </row>
    <row r="169" ht="12.75" customHeight="1">
      <c r="B169" s="42" t="inlineStr">
        <is>
          <t>NET FOR LABOUR</t>
        </is>
      </c>
      <c r="C169" s="20" t="n"/>
      <c r="D169" s="20" t="n"/>
      <c r="E169" s="20" t="n"/>
      <c r="F169" s="85" t="n"/>
      <c r="G169" s="85" t="n"/>
      <c r="H169" s="40">
        <f>H167+H168</f>
        <v/>
      </c>
      <c r="I169" s="38">
        <f>I167+I168</f>
        <v/>
      </c>
    </row>
    <row r="170" ht="12.75" customHeight="1"/>
    <row r="171" ht="12.75" customHeight="1">
      <c r="B171" s="3" t="inlineStr">
        <is>
          <t>TOTAL AMOUNT OF LABOUR ASSESSED (in Rs):</t>
        </is>
      </c>
      <c r="G171" s="64">
        <f>I169</f>
        <v/>
      </c>
    </row>
    <row r="172" ht="12.75" customHeight="1">
      <c r="B172" s="6" t="n"/>
      <c r="C172" s="6" t="n"/>
      <c r="D172" s="6" t="n"/>
      <c r="E172" s="6" t="n"/>
      <c r="F172" s="6" t="n"/>
      <c r="G172" s="6" t="n"/>
    </row>
    <row r="173">
      <c r="B173" s="24" t="inlineStr">
        <is>
          <t>SUMMARY</t>
        </is>
      </c>
      <c r="C173" s="6" t="n"/>
      <c r="D173" s="6" t="n"/>
      <c r="E173" s="7" t="n"/>
      <c r="F173" s="48" t="inlineStr">
        <is>
          <t>Estimated</t>
        </is>
      </c>
      <c r="G173" s="48" t="inlineStr">
        <is>
          <t>Assessed</t>
        </is>
      </c>
    </row>
    <row r="174">
      <c r="B174" s="67" t="inlineStr">
        <is>
          <t>PARTS</t>
        </is>
      </c>
      <c r="C174" s="62" t="n"/>
      <c r="D174" s="62" t="n"/>
      <c r="E174" s="62" t="n"/>
      <c r="F174" s="68">
        <f>F141</f>
        <v/>
      </c>
      <c r="G174" s="29">
        <f>G141</f>
        <v/>
      </c>
    </row>
    <row r="175">
      <c r="B175" s="5" t="inlineStr">
        <is>
          <t>LABOUR</t>
        </is>
      </c>
      <c r="C175" s="6" t="n"/>
      <c r="D175" s="6" t="n"/>
      <c r="E175" s="6" t="n"/>
      <c r="F175" s="31">
        <f>H169</f>
        <v/>
      </c>
      <c r="G175" s="27">
        <f>G171</f>
        <v/>
      </c>
    </row>
    <row r="176">
      <c r="B176" s="2" t="inlineStr">
        <is>
          <t>SUB TOTAL</t>
        </is>
      </c>
      <c r="E176" s="4" t="n"/>
      <c r="F176" s="26">
        <f>F174+F175</f>
        <v/>
      </c>
      <c r="G176" s="26">
        <f>G174+G175</f>
        <v/>
      </c>
    </row>
    <row r="177">
      <c r="B177" s="5" t="inlineStr">
        <is>
          <t>LESS EXCESS CLAUSE</t>
        </is>
      </c>
      <c r="C177" s="6" t="n"/>
      <c r="D177" s="6" t="n"/>
      <c r="E177" s="7" t="n"/>
      <c r="F177" s="4" t="n"/>
      <c r="G177" s="26">
        <f>J94</f>
        <v/>
      </c>
    </row>
    <row r="178" ht="12" customHeight="1">
      <c r="B178" s="24" t="inlineStr">
        <is>
          <t>NET PAYABLE</t>
        </is>
      </c>
      <c r="C178" s="6" t="n"/>
      <c r="D178" s="20" t="n"/>
      <c r="E178" s="36" t="n"/>
      <c r="F178" s="40">
        <f>F176</f>
        <v/>
      </c>
      <c r="G178" s="41">
        <f>G176-G177</f>
        <v/>
      </c>
    </row>
    <row r="180" ht="12.75" customHeight="1">
      <c r="B180" s="1" t="inlineStr">
        <is>
          <t xml:space="preserve">LESS SALVAGE VALUE </t>
        </is>
      </c>
      <c r="G180" s="32" t="n"/>
    </row>
    <row r="181">
      <c r="B181" s="42" t="inlineStr">
        <is>
          <t>NET PAYABLE AMOUNT</t>
        </is>
      </c>
      <c r="C181" s="20" t="n"/>
      <c r="D181" s="20" t="n"/>
      <c r="E181" s="20" t="n"/>
      <c r="F181" s="20" t="n"/>
      <c r="G181" s="43">
        <f>G178-G180</f>
        <v/>
      </c>
      <c r="I181" s="32" t="n"/>
    </row>
    <row r="182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</row>
    <row r="183" ht="60" customHeight="1">
      <c r="A183" s="18" t="n"/>
      <c r="B183" s="261" t="inlineStr">
        <is>
          <t>Report issued without prejudice or bias and is subject to the term and condition of the Policy and subject claim document being found in order. The Repairer/Insured has concurred with assessment.The damages are commensurate with the cause and nature of accident. The rates allowed are as per Authorised Dealer/Market rates which ever is less. Claim Form, Estimate, SF Bill, Photographs, Photocopies of RC, DL, C.Note, etc etc are enclosed.</t>
        </is>
      </c>
    </row>
    <row r="184">
      <c r="A184" s="18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</row>
    <row r="185">
      <c r="B185" s="55" t="inlineStr">
        <is>
          <t>Physically Verified Major Assemblies</t>
        </is>
      </c>
    </row>
    <row r="186">
      <c r="B186" s="3" t="n"/>
    </row>
    <row r="187">
      <c r="B187" s="13" t="n">
        <v>1</v>
      </c>
      <c r="C187" s="1" t="inlineStr">
        <is>
          <t>Chassis Number</t>
        </is>
      </c>
      <c r="E187" s="3" t="inlineStr">
        <is>
          <t>:</t>
        </is>
      </c>
      <c r="F187" s="13">
        <f>G29</f>
        <v/>
      </c>
    </row>
    <row r="188" ht="10.5" customHeight="1">
      <c r="B188" s="13" t="n"/>
      <c r="E188" s="3" t="n"/>
    </row>
    <row r="189">
      <c r="B189" s="13" t="n">
        <v>2</v>
      </c>
      <c r="C189" s="1" t="inlineStr">
        <is>
          <t>Engine Number</t>
        </is>
      </c>
      <c r="E189" s="3" t="inlineStr">
        <is>
          <t>:</t>
        </is>
      </c>
      <c r="F189" s="13">
        <f>G30</f>
        <v/>
      </c>
    </row>
    <row r="190">
      <c r="B190" s="3" t="n"/>
      <c r="J190" s="3" t="n"/>
    </row>
    <row r="191">
      <c r="B191" s="3" t="n"/>
      <c r="C191" s="67" t="inlineStr">
        <is>
          <t>PAYMENT MADE IN THE FAVOUR OF REPAIRER</t>
        </is>
      </c>
      <c r="D191" s="62" t="n"/>
      <c r="E191" s="62" t="n"/>
      <c r="F191" s="62" t="n"/>
      <c r="G191" s="87" t="n"/>
      <c r="J191" s="3" t="inlineStr">
        <is>
          <t xml:space="preserve">              SUNIL KUMAR</t>
        </is>
      </c>
    </row>
    <row r="192">
      <c r="C192" s="2" t="n"/>
      <c r="G192" s="4" t="n"/>
    </row>
    <row r="193">
      <c r="B193" s="3" t="n"/>
      <c r="C193" s="88" t="inlineStr">
        <is>
          <t>CASHLESS CLAIM</t>
        </is>
      </c>
      <c r="D193" s="6" t="n"/>
      <c r="E193" s="6" t="n"/>
      <c r="F193" s="6" t="n"/>
      <c r="G193" s="7" t="n"/>
    </row>
    <row r="194">
      <c r="B194" s="3" t="n"/>
    </row>
    <row r="195">
      <c r="B195" s="3" t="n"/>
    </row>
    <row r="196">
      <c r="B196" s="3" t="n"/>
    </row>
    <row r="197">
      <c r="M197" s="3" t="inlineStr">
        <is>
          <t>SUMMARRY OF GST:</t>
        </is>
      </c>
    </row>
    <row r="198">
      <c r="M198" s="3" t="n"/>
    </row>
    <row r="199" ht="12.75" customHeight="1">
      <c r="M199" s="75" t="inlineStr">
        <is>
          <t>HSN/SAC CODE</t>
        </is>
      </c>
      <c r="N199" s="128" t="inlineStr">
        <is>
          <t>Taxable Amount</t>
        </is>
      </c>
      <c r="O199" s="251" t="inlineStr">
        <is>
          <t>SGST/UTGST</t>
        </is>
      </c>
      <c r="P199" s="248" t="n"/>
      <c r="Q199" s="251" t="inlineStr">
        <is>
          <t>CGST</t>
        </is>
      </c>
      <c r="R199" s="248" t="n"/>
      <c r="S199" s="251" t="inlineStr">
        <is>
          <t>ISGT</t>
        </is>
      </c>
      <c r="T199" s="248" t="n"/>
      <c r="U199" s="252" t="inlineStr">
        <is>
          <t>Total Amount of GST</t>
        </is>
      </c>
      <c r="V199" s="98" t="n"/>
    </row>
    <row r="200">
      <c r="M200" s="123" t="n"/>
      <c r="N200" s="7" t="n"/>
      <c r="O200" s="74" t="inlineStr">
        <is>
          <t>Rate</t>
        </is>
      </c>
      <c r="P200" s="73" t="inlineStr">
        <is>
          <t>Amt.</t>
        </is>
      </c>
      <c r="Q200" s="121" t="inlineStr">
        <is>
          <t>Rate</t>
        </is>
      </c>
      <c r="R200" s="73" t="inlineStr">
        <is>
          <t>Amt.</t>
        </is>
      </c>
      <c r="S200" s="121" t="inlineStr">
        <is>
          <t>Rate</t>
        </is>
      </c>
      <c r="T200" s="73" t="inlineStr">
        <is>
          <t>Amt.</t>
        </is>
      </c>
      <c r="U200" s="101" t="n"/>
      <c r="V200" s="103" t="n"/>
    </row>
    <row r="201">
      <c r="B201" s="3" t="n"/>
      <c r="M201" s="112" t="n"/>
      <c r="N201" s="124">
        <f>G135+H135</f>
        <v/>
      </c>
      <c r="O201" s="112" t="n">
        <v>14</v>
      </c>
      <c r="P201" s="126">
        <f>14*N201/100</f>
        <v/>
      </c>
      <c r="Q201" s="120" t="n">
        <v>14</v>
      </c>
      <c r="R201" s="126">
        <f>P201</f>
        <v/>
      </c>
      <c r="S201" s="122" t="n"/>
      <c r="T201" s="4" t="n"/>
      <c r="U201" s="32">
        <f>P201+R201</f>
        <v/>
      </c>
      <c r="V201" s="4" t="n"/>
    </row>
    <row r="202">
      <c r="B202" s="3" t="n"/>
      <c r="M202" s="112" t="n"/>
      <c r="N202" s="124">
        <f>I135</f>
        <v/>
      </c>
      <c r="O202" s="112" t="n">
        <v>9</v>
      </c>
      <c r="P202" s="126">
        <f>9*N202/100</f>
        <v/>
      </c>
      <c r="Q202" s="120" t="n">
        <v>9</v>
      </c>
      <c r="R202" s="126">
        <f>P202</f>
        <v/>
      </c>
      <c r="S202" s="63" t="n"/>
      <c r="T202" s="4" t="n"/>
      <c r="U202" s="32">
        <f>P202+R202</f>
        <v/>
      </c>
      <c r="V202" s="4" t="n"/>
    </row>
    <row r="203">
      <c r="B203" s="3" t="n"/>
      <c r="M203" s="112" t="n"/>
      <c r="N203" s="124">
        <f>J135</f>
        <v/>
      </c>
      <c r="O203" s="112" t="n">
        <v>9</v>
      </c>
      <c r="P203" s="126">
        <f>9*N203/100</f>
        <v/>
      </c>
      <c r="Q203" s="120" t="n">
        <v>9</v>
      </c>
      <c r="R203" s="126">
        <f>P203</f>
        <v/>
      </c>
      <c r="S203" s="63" t="n"/>
      <c r="T203" s="4" t="n"/>
      <c r="U203" s="32">
        <f>P203+R203</f>
        <v/>
      </c>
      <c r="V203" s="4" t="n"/>
    </row>
    <row r="204">
      <c r="B204" s="3" t="n"/>
      <c r="M204" s="113" t="n">
        <v>998729</v>
      </c>
      <c r="N204" s="125">
        <f>I167</f>
        <v/>
      </c>
      <c r="O204" s="113" t="n">
        <v>9</v>
      </c>
      <c r="P204" s="127">
        <f>9*N204/100</f>
        <v/>
      </c>
      <c r="Q204" s="119" t="n">
        <v>9</v>
      </c>
      <c r="R204" s="127">
        <f>P204</f>
        <v/>
      </c>
      <c r="S204" s="118" t="n"/>
      <c r="T204" s="7" t="n"/>
      <c r="U204" s="28">
        <f>P204+R204</f>
        <v/>
      </c>
      <c r="V204" s="7" t="n"/>
    </row>
    <row r="205">
      <c r="M205" s="42" t="inlineStr">
        <is>
          <t>TOTAL AMOUNT OF GST ALLOWED</t>
        </is>
      </c>
      <c r="N205" s="72" t="n"/>
      <c r="O205" s="72" t="n"/>
      <c r="P205" s="72" t="n"/>
      <c r="Q205" s="109" t="n"/>
      <c r="R205" s="109" t="n"/>
      <c r="S205" s="72" t="n"/>
      <c r="T205" s="72" t="n"/>
      <c r="U205" s="85">
        <f>SUM(U201:U204)</f>
        <v/>
      </c>
      <c r="V205" s="129" t="n"/>
    </row>
    <row r="206">
      <c r="M206" s="3" t="n"/>
      <c r="N206" s="3" t="n"/>
      <c r="O206" s="3" t="n"/>
      <c r="P206" s="3" t="n"/>
      <c r="Q206" s="12" t="n"/>
      <c r="R206" s="12" t="n"/>
      <c r="S206" s="3" t="n"/>
      <c r="T206" s="3" t="n"/>
      <c r="U206" s="64" t="n"/>
      <c r="V206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N251" s="13" t="n"/>
    </row>
    <row r="252">
      <c r="N252" s="13" t="n"/>
    </row>
    <row r="253">
      <c r="N253" s="13" t="n"/>
    </row>
    <row r="254">
      <c r="N254" s="13" t="n"/>
    </row>
    <row r="255">
      <c r="N255" s="13" t="n"/>
    </row>
    <row r="256">
      <c r="N256" s="13" t="n"/>
    </row>
    <row r="257">
      <c r="N257" s="13" t="n"/>
    </row>
    <row r="258">
      <c r="C258" s="1" t="inlineStr">
        <is>
          <t>Date of Registration/isurance</t>
        </is>
      </c>
      <c r="E258" s="253" t="n"/>
      <c r="F258" s="253" t="n"/>
      <c r="N258" s="13" t="n"/>
    </row>
    <row r="259">
      <c r="C259" s="1" t="inlineStr">
        <is>
          <t>Date of Accident</t>
        </is>
      </c>
      <c r="E259" s="253" t="n"/>
      <c r="F259" s="253" t="n"/>
    </row>
    <row r="260">
      <c r="E260" s="254" t="n"/>
      <c r="F260" s="254" t="n"/>
    </row>
    <row r="261">
      <c r="E261" s="250">
        <f>DAYS360(E258,E259,0)/360</f>
        <v/>
      </c>
      <c r="F261" s="250" t="n"/>
    </row>
    <row r="267">
      <c r="I267" s="255" t="n"/>
    </row>
  </sheetData>
  <mergeCells count="14">
    <mergeCell ref="G29:H29"/>
    <mergeCell ref="I30:J30"/>
    <mergeCell ref="I29:J29"/>
    <mergeCell ref="C81:K81"/>
    <mergeCell ref="G30:H30"/>
    <mergeCell ref="Q199:R199"/>
    <mergeCell ref="B183:K183"/>
    <mergeCell ref="U199:V200"/>
    <mergeCell ref="G28:H28"/>
    <mergeCell ref="C78:K78"/>
    <mergeCell ref="O199:P199"/>
    <mergeCell ref="I28:J28"/>
    <mergeCell ref="S199:T199"/>
    <mergeCell ref="B11:K11"/>
  </mergeCells>
  <conditionalFormatting sqref="E261:F261">
    <cfRule type="expression" priority="1" dxfId="0" stopIfTrue="1">
      <formula>DAYS360(E258,E259,0)/360</formula>
    </cfRule>
  </conditionalFormatting>
  <printOptions horizontalCentered="1"/>
  <pageMargins left="0.25" right="0.25" top="0.5" bottom="0.5" header="0" footer="0"/>
  <pageSetup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view="normal" topLeftCell="A5" workbookViewId="0">
      <selection activeCell="B48" sqref="B48"/>
    </sheetView>
  </sheetViews>
  <sheetFormatPr baseColWidth="8" defaultRowHeight="12.35"/>
  <sheetData>
    <row r="1">
      <c r="A1" s="96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8" t="n"/>
    </row>
    <row r="2">
      <c r="A2" s="99" t="n"/>
      <c r="L2" s="100" t="n"/>
    </row>
    <row r="3">
      <c r="A3" s="99" t="n"/>
      <c r="B3" s="1" t="n"/>
      <c r="C3" s="1" t="n"/>
      <c r="D3" s="1" t="n"/>
      <c r="E3" s="1" t="n"/>
      <c r="F3" s="1" t="n"/>
      <c r="G3" s="69" t="inlineStr">
        <is>
          <t>MOTOR SURVEY REPORT</t>
        </is>
      </c>
      <c r="H3" s="1" t="n"/>
      <c r="I3" s="1" t="n"/>
      <c r="L3" s="100" t="n"/>
    </row>
    <row r="4">
      <c r="A4" s="99" t="n"/>
      <c r="B4" s="1" t="n"/>
      <c r="C4" s="1" t="n"/>
      <c r="D4" s="1" t="n"/>
      <c r="E4" s="1" t="n"/>
      <c r="F4" s="1" t="n"/>
      <c r="G4" s="1" t="n"/>
      <c r="H4" s="1" t="n"/>
      <c r="I4" s="1" t="n"/>
      <c r="L4" s="100" t="n"/>
    </row>
    <row r="5">
      <c r="A5" s="99" t="n"/>
      <c r="B5" s="1" t="n"/>
      <c r="C5" s="1" t="n"/>
      <c r="D5" s="1" t="n"/>
      <c r="E5" s="1" t="n"/>
      <c r="F5" s="1" t="n"/>
      <c r="G5" s="1" t="n"/>
      <c r="H5" s="1" t="n"/>
      <c r="I5" s="1" t="n"/>
      <c r="L5" s="100" t="n"/>
    </row>
    <row r="6" ht="16.5" customHeight="1">
      <c r="A6" s="99" t="n"/>
      <c r="B6" s="56" t="inlineStr">
        <is>
          <t>INSURER</t>
        </is>
      </c>
      <c r="C6" s="58" t="n"/>
      <c r="D6" s="57" t="n"/>
      <c r="E6" s="1" t="n"/>
      <c r="F6" s="57">
        <f>Sheet1!G13</f>
        <v/>
      </c>
      <c r="G6" s="57" t="n"/>
      <c r="H6" s="1" t="n"/>
      <c r="I6" s="1" t="n"/>
      <c r="L6" s="100" t="n"/>
    </row>
    <row r="7" ht="33.75" customHeight="1">
      <c r="A7" s="99" t="n"/>
      <c r="B7" s="156" t="inlineStr">
        <is>
          <t>ADDRESS</t>
        </is>
      </c>
      <c r="C7" s="58" t="n"/>
      <c r="D7" s="57" t="n"/>
      <c r="E7" s="1" t="n"/>
      <c r="F7" s="256">
        <f>Sheet1!G14</f>
        <v/>
      </c>
      <c r="L7" s="100" t="n"/>
    </row>
    <row r="8">
      <c r="A8" s="99" t="n"/>
      <c r="B8" s="57" t="n"/>
      <c r="C8" s="58" t="n"/>
      <c r="D8" s="57" t="n"/>
      <c r="E8" s="1" t="n"/>
      <c r="F8" s="1">
        <f>Sheet1!G15</f>
        <v/>
      </c>
      <c r="G8" s="57" t="n"/>
      <c r="H8" s="1" t="n"/>
      <c r="I8" s="1" t="n"/>
      <c r="L8" s="100" t="n"/>
    </row>
    <row r="9">
      <c r="A9" s="99" t="n"/>
      <c r="B9" s="56" t="n"/>
      <c r="C9" s="58" t="n"/>
      <c r="D9" s="57" t="n"/>
      <c r="E9" s="1" t="n"/>
      <c r="F9" s="57" t="n"/>
      <c r="G9" s="57" t="n"/>
      <c r="H9" s="1" t="n"/>
      <c r="I9" s="1" t="n"/>
      <c r="L9" s="100" t="n"/>
    </row>
    <row r="10">
      <c r="A10" s="99" t="n"/>
      <c r="B10" s="56" t="inlineStr">
        <is>
          <t>INSURED</t>
        </is>
      </c>
      <c r="C10" s="58" t="n"/>
      <c r="D10" s="57" t="n"/>
      <c r="E10" s="1" t="n"/>
      <c r="F10" s="57">
        <f>Sheet1!G18</f>
        <v/>
      </c>
      <c r="G10" s="57" t="n"/>
      <c r="H10" s="1" t="n"/>
      <c r="I10" s="1" t="n"/>
      <c r="L10" s="100" t="n"/>
    </row>
    <row r="11">
      <c r="A11" s="99" t="n"/>
      <c r="B11" s="56" t="n"/>
      <c r="C11" s="58" t="n"/>
      <c r="D11" s="57" t="n"/>
      <c r="E11" s="1" t="n"/>
      <c r="F11" s="57" t="n"/>
      <c r="G11" s="57" t="n"/>
      <c r="H11" s="1" t="n"/>
      <c r="I11" s="1" t="n"/>
      <c r="L11" s="100" t="n"/>
    </row>
    <row r="12">
      <c r="A12" s="99" t="n"/>
      <c r="B12" s="56" t="inlineStr">
        <is>
          <t>VEHICLE REG. NO.</t>
        </is>
      </c>
      <c r="C12" s="58" t="n"/>
      <c r="D12" s="57" t="n"/>
      <c r="E12" s="1" t="n"/>
      <c r="F12" s="56">
        <f>Sheet1!G25</f>
        <v/>
      </c>
      <c r="G12" s="57" t="n"/>
      <c r="H12" s="1" t="n"/>
      <c r="I12" s="1" t="n"/>
      <c r="L12" s="100" t="n"/>
    </row>
    <row r="13">
      <c r="A13" s="99" t="n"/>
      <c r="B13" s="56" t="n"/>
      <c r="C13" s="57" t="n"/>
      <c r="D13" s="57" t="n"/>
      <c r="E13" s="1" t="n"/>
      <c r="F13" s="57" t="n"/>
      <c r="G13" s="57" t="n"/>
      <c r="H13" s="1" t="n"/>
      <c r="I13" s="1" t="n"/>
      <c r="L13" s="100" t="n"/>
    </row>
    <row r="14">
      <c r="A14" s="99" t="n"/>
      <c r="B14" s="56" t="inlineStr">
        <is>
          <t>C.NOTE/POLICY NO.</t>
        </is>
      </c>
      <c r="C14" s="57" t="n"/>
      <c r="D14" s="57" t="n"/>
      <c r="E14" s="1" t="n"/>
      <c r="F14" s="59">
        <f>Sheet1!G16</f>
        <v/>
      </c>
      <c r="G14" s="57" t="n"/>
      <c r="H14" s="1" t="n"/>
      <c r="I14" s="1" t="n"/>
      <c r="L14" s="100" t="n"/>
    </row>
    <row r="15">
      <c r="A15" s="99" t="n"/>
      <c r="B15" s="56" t="n"/>
      <c r="C15" s="57" t="n"/>
      <c r="D15" s="57" t="n"/>
      <c r="E15" s="1" t="n"/>
      <c r="F15" s="57" t="n"/>
      <c r="G15" s="57" t="n"/>
      <c r="H15" s="1" t="n"/>
      <c r="I15" s="1" t="n"/>
      <c r="L15" s="100" t="n"/>
    </row>
    <row r="16">
      <c r="A16" s="99" t="n"/>
      <c r="B16" s="56" t="inlineStr">
        <is>
          <t xml:space="preserve">PERIOD </t>
        </is>
      </c>
      <c r="C16" s="58" t="n"/>
      <c r="D16" s="57" t="n"/>
      <c r="E16" s="1" t="n"/>
      <c r="F16" s="57">
        <f>Sheet1!K16</f>
        <v/>
      </c>
      <c r="G16" s="57" t="n"/>
      <c r="H16" s="1" t="n"/>
      <c r="I16" s="1" t="n"/>
      <c r="L16" s="100" t="n"/>
    </row>
    <row r="17">
      <c r="A17" s="99" t="n"/>
      <c r="B17" s="57" t="n"/>
      <c r="C17" s="58" t="n"/>
      <c r="D17" s="57" t="n"/>
      <c r="E17" s="1" t="n"/>
      <c r="F17" s="57" t="n"/>
      <c r="G17" s="57" t="n"/>
      <c r="H17" s="1" t="n"/>
      <c r="I17" s="1" t="n"/>
      <c r="L17" s="100" t="n"/>
    </row>
    <row r="18">
      <c r="A18" s="99" t="n"/>
      <c r="B18" s="56" t="inlineStr">
        <is>
          <t>DATE OF LOSS</t>
        </is>
      </c>
      <c r="C18" s="58" t="n"/>
      <c r="D18" s="57" t="n"/>
      <c r="E18" s="1" t="n"/>
      <c r="F18" s="257">
        <f>Sheet1!G57</f>
        <v/>
      </c>
      <c r="G18" s="57" t="n"/>
      <c r="H18" s="1" t="n"/>
      <c r="I18" s="1" t="n"/>
      <c r="L18" s="100" t="n"/>
    </row>
    <row r="19">
      <c r="A19" s="99" t="n"/>
      <c r="B19" s="57" t="n"/>
      <c r="C19" s="57" t="n"/>
      <c r="D19" s="57" t="n"/>
      <c r="E19" s="57" t="n"/>
      <c r="F19" s="57" t="n"/>
      <c r="G19" s="57" t="n"/>
      <c r="H19" s="1" t="n"/>
      <c r="I19" s="1" t="n"/>
      <c r="L19" s="100" t="n"/>
    </row>
    <row r="20">
      <c r="A20" s="99" t="n"/>
      <c r="B20" s="1" t="n"/>
      <c r="C20" s="1" t="n"/>
      <c r="D20" s="1" t="n"/>
      <c r="E20" s="1" t="n"/>
      <c r="F20" s="1" t="n"/>
      <c r="G20" s="1" t="n"/>
      <c r="H20" s="1" t="n"/>
      <c r="I20" s="1" t="n"/>
      <c r="L20" s="100" t="n"/>
    </row>
    <row r="21">
      <c r="A21" s="99" t="n"/>
      <c r="B21" s="1" t="n"/>
      <c r="C21" s="1" t="n"/>
      <c r="D21" s="1" t="n"/>
      <c r="E21" s="1" t="n"/>
      <c r="F21" s="1" t="n"/>
      <c r="G21" s="1" t="n"/>
      <c r="H21" s="1" t="n"/>
      <c r="I21" s="1" t="n"/>
      <c r="L21" s="100" t="n"/>
    </row>
    <row r="22">
      <c r="A22" s="99" t="n"/>
      <c r="B22" s="1" t="n"/>
      <c r="C22" s="1" t="n"/>
      <c r="D22" s="1" t="n"/>
      <c r="E22" s="1" t="n"/>
      <c r="F22" s="1" t="n"/>
      <c r="G22" s="1" t="n"/>
      <c r="H22" s="1" t="n"/>
      <c r="I22" s="1" t="n"/>
      <c r="L22" s="100" t="n"/>
    </row>
    <row r="23">
      <c r="A23" s="99" t="n"/>
      <c r="B23" s="1" t="n"/>
      <c r="C23" s="1" t="n"/>
      <c r="D23" s="1" t="n"/>
      <c r="E23" s="1" t="n"/>
      <c r="F23" s="1" t="n"/>
      <c r="G23" s="1" t="n"/>
      <c r="H23" s="1" t="n"/>
      <c r="I23" s="1" t="n"/>
      <c r="L23" s="100" t="n"/>
    </row>
    <row r="24">
      <c r="A24" s="99" t="n"/>
      <c r="B24" s="1" t="n"/>
      <c r="C24" s="1" t="n"/>
      <c r="D24" s="1" t="n"/>
      <c r="E24" s="1" t="n"/>
      <c r="F24" s="1" t="n"/>
      <c r="G24" s="1" t="n"/>
      <c r="H24" s="1" t="n"/>
      <c r="I24" s="1" t="n"/>
      <c r="L24" s="100" t="n"/>
    </row>
    <row r="25">
      <c r="A25" s="99" t="n"/>
      <c r="B25" s="1" t="n"/>
      <c r="C25" s="1" t="n"/>
      <c r="D25" s="1" t="n"/>
      <c r="E25" s="1" t="n"/>
      <c r="F25" s="1" t="n"/>
      <c r="G25" s="1" t="n"/>
      <c r="H25" s="1" t="n"/>
      <c r="I25" s="1" t="n"/>
      <c r="L25" s="100" t="n"/>
    </row>
    <row r="26">
      <c r="A26" s="99" t="n"/>
      <c r="B26" s="131" t="inlineStr">
        <is>
          <t>PAYMENT TO BE MADE IN THE FAVOUR OF REPAIRER</t>
        </is>
      </c>
      <c r="C26" s="132" t="n"/>
      <c r="D26" s="132" t="n"/>
      <c r="E26" s="132" t="n"/>
      <c r="F26" s="132" t="n"/>
      <c r="G26" s="132" t="n"/>
      <c r="H26" s="132" t="n"/>
      <c r="I26" s="132" t="n"/>
      <c r="J26" s="133" t="n"/>
      <c r="K26" s="133" t="n"/>
      <c r="L26" s="100" t="n"/>
    </row>
    <row r="27">
      <c r="A27" s="99" t="n"/>
      <c r="B27" s="1" t="n"/>
      <c r="C27" s="1" t="n"/>
      <c r="D27" s="1" t="n"/>
      <c r="E27" s="1" t="n"/>
      <c r="F27" s="1" t="n"/>
      <c r="G27" s="1" t="n"/>
      <c r="H27" s="1" t="n"/>
      <c r="I27" s="1" t="n"/>
      <c r="L27" s="100" t="n"/>
    </row>
    <row r="28">
      <c r="A28" s="99" t="n"/>
      <c r="B28" s="1" t="n"/>
      <c r="C28" s="1" t="n"/>
      <c r="D28" s="1" t="n"/>
      <c r="E28" s="1" t="n"/>
      <c r="F28" s="1" t="n"/>
      <c r="G28" s="1" t="n"/>
      <c r="H28" s="1" t="n"/>
      <c r="I28" s="1" t="n"/>
      <c r="L28" s="100" t="n"/>
    </row>
    <row r="29">
      <c r="A29" s="99" t="n"/>
      <c r="B29" s="1" t="n"/>
      <c r="C29" s="1" t="n"/>
      <c r="D29" s="1" t="n"/>
      <c r="E29" s="1" t="n"/>
      <c r="F29" s="1" t="n"/>
      <c r="G29" s="1" t="n"/>
      <c r="H29" s="1" t="n"/>
      <c r="I29" s="1" t="n"/>
      <c r="L29" s="100" t="n"/>
    </row>
    <row r="30">
      <c r="A30" s="99" t="n"/>
      <c r="B30" s="1" t="n"/>
      <c r="C30" s="1" t="n"/>
      <c r="D30" s="1" t="n"/>
      <c r="E30" s="1" t="n"/>
      <c r="F30" s="1" t="n"/>
      <c r="G30" s="1" t="n"/>
      <c r="H30" s="1" t="n"/>
      <c r="I30" s="1" t="n"/>
      <c r="L30" s="100" t="n"/>
    </row>
    <row r="31">
      <c r="A31" s="99" t="n"/>
      <c r="B31" s="1" t="n"/>
      <c r="C31" s="1" t="n"/>
      <c r="D31" s="1" t="n"/>
      <c r="E31" s="1" t="n"/>
      <c r="F31" s="1" t="n"/>
      <c r="G31" s="1" t="n"/>
      <c r="H31" s="1" t="n"/>
      <c r="I31" s="1" t="n"/>
      <c r="L31" s="100" t="n"/>
    </row>
    <row r="32">
      <c r="A32" s="99" t="n"/>
      <c r="B32" s="1" t="n"/>
      <c r="C32" s="1" t="n"/>
      <c r="D32" s="1" t="n"/>
      <c r="E32" s="1" t="n"/>
      <c r="F32" s="1" t="n"/>
      <c r="G32" s="1" t="n"/>
      <c r="H32" s="1" t="n"/>
      <c r="I32" s="1" t="n"/>
      <c r="L32" s="100" t="n"/>
    </row>
    <row r="33">
      <c r="A33" s="99" t="n"/>
      <c r="B33" s="1" t="n"/>
      <c r="C33" s="1" t="n"/>
      <c r="D33" s="1" t="n"/>
      <c r="E33" s="1" t="n"/>
      <c r="F33" s="1" t="n"/>
      <c r="G33" s="1" t="n"/>
      <c r="H33" s="1" t="n"/>
      <c r="I33" s="1" t="n"/>
      <c r="L33" s="100" t="n"/>
    </row>
    <row r="34">
      <c r="A34" s="99" t="n"/>
      <c r="B34" s="1" t="n"/>
      <c r="C34" s="1" t="n"/>
      <c r="D34" s="1" t="n"/>
      <c r="E34" s="1" t="n"/>
      <c r="F34" s="1" t="n"/>
      <c r="G34" s="1" t="n"/>
      <c r="H34" s="1" t="n"/>
      <c r="I34" s="1" t="n"/>
      <c r="L34" s="100" t="n"/>
    </row>
    <row r="35">
      <c r="A35" s="99" t="n"/>
      <c r="B35" s="1" t="n"/>
      <c r="C35" s="1" t="n"/>
      <c r="D35" s="1" t="n"/>
      <c r="E35" s="1" t="n"/>
      <c r="F35" s="1" t="n"/>
      <c r="G35" s="1" t="n"/>
      <c r="H35" s="1" t="n"/>
      <c r="I35" s="1" t="n"/>
      <c r="L35" s="100" t="n"/>
    </row>
    <row r="36">
      <c r="A36" s="99" t="n"/>
      <c r="B36" s="1" t="n"/>
      <c r="C36" s="1" t="n"/>
      <c r="D36" s="1" t="n"/>
      <c r="E36" s="1" t="n"/>
      <c r="F36" s="1" t="n"/>
      <c r="G36" s="1" t="n"/>
      <c r="H36" s="1" t="n"/>
      <c r="I36" s="1" t="n"/>
      <c r="L36" s="100" t="n"/>
    </row>
    <row r="37">
      <c r="A37" s="99" t="n"/>
      <c r="B37" s="1" t="n"/>
      <c r="C37" s="1" t="n"/>
      <c r="D37" s="1" t="n"/>
      <c r="E37" s="1" t="n"/>
      <c r="F37" s="1" t="n"/>
      <c r="G37" s="1" t="n"/>
      <c r="H37" s="1" t="n"/>
      <c r="I37" s="1" t="n"/>
      <c r="L37" s="100" t="n"/>
    </row>
    <row r="38">
      <c r="A38" s="99" t="n"/>
      <c r="B38" s="1" t="n"/>
      <c r="C38" s="1" t="n"/>
      <c r="D38" s="1" t="n"/>
      <c r="E38" s="1" t="n"/>
      <c r="F38" s="1" t="n"/>
      <c r="G38" s="1" t="n"/>
      <c r="H38" s="1" t="n"/>
      <c r="I38" s="1" t="n"/>
      <c r="L38" s="100" t="n"/>
    </row>
    <row r="39">
      <c r="A39" s="99" t="n"/>
      <c r="B39" s="1" t="n"/>
      <c r="C39" s="1" t="n"/>
      <c r="D39" s="1" t="n"/>
      <c r="E39" s="1" t="n"/>
      <c r="F39" s="1" t="n"/>
      <c r="G39" s="1" t="n"/>
      <c r="H39" s="1" t="n"/>
      <c r="I39" s="1" t="n"/>
      <c r="L39" s="100" t="n"/>
    </row>
    <row r="40">
      <c r="A40" s="99" t="n"/>
      <c r="B40" s="1" t="n"/>
      <c r="C40" s="1" t="n"/>
      <c r="D40" s="1" t="n"/>
      <c r="E40" s="1" t="n"/>
      <c r="F40" s="1" t="n"/>
      <c r="G40" s="1" t="n"/>
      <c r="H40" s="1" t="n"/>
      <c r="I40" s="1" t="n"/>
      <c r="L40" s="100" t="n"/>
    </row>
    <row r="41">
      <c r="A41" s="99" t="n"/>
      <c r="B41" s="1" t="n"/>
      <c r="C41" s="1" t="n"/>
      <c r="D41" s="1" t="n"/>
      <c r="E41" s="1" t="n"/>
      <c r="F41" s="1" t="n"/>
      <c r="G41" s="1" t="n"/>
      <c r="H41" s="1" t="n"/>
      <c r="I41" s="1" t="n"/>
      <c r="L41" s="100" t="n"/>
    </row>
    <row r="42">
      <c r="A42" s="99" t="n"/>
      <c r="B42" s="55" t="inlineStr">
        <is>
          <t>REPORT SUBMITTED BY:</t>
        </is>
      </c>
      <c r="C42" s="1" t="n"/>
      <c r="D42" s="1" t="n"/>
      <c r="E42" s="1" t="n"/>
      <c r="F42" s="1" t="n"/>
      <c r="G42" s="1" t="n"/>
      <c r="H42" s="1" t="n"/>
      <c r="I42" s="1" t="n"/>
      <c r="L42" s="100" t="n"/>
    </row>
    <row r="43">
      <c r="A43" s="99" t="n"/>
      <c r="B43" s="3" t="n"/>
      <c r="C43" s="1" t="n"/>
      <c r="D43" s="1" t="n"/>
      <c r="E43" s="1" t="n"/>
      <c r="F43" s="1" t="n"/>
      <c r="G43" s="1" t="n"/>
      <c r="H43" s="1" t="n"/>
      <c r="I43" s="1" t="n"/>
      <c r="L43" s="100" t="n"/>
    </row>
    <row r="44">
      <c r="A44" s="99" t="n"/>
      <c r="B44" s="54" t="n"/>
      <c r="C44" s="50" t="n"/>
      <c r="D44" s="50" t="n"/>
      <c r="E44" s="50" t="n"/>
      <c r="F44" s="50" t="n"/>
      <c r="G44" s="50" t="n"/>
      <c r="H44" s="50" t="n"/>
      <c r="I44" s="50" t="n"/>
      <c r="J44" s="95" t="n"/>
      <c r="K44" s="95" t="n"/>
      <c r="L44" s="100" t="n"/>
    </row>
    <row r="45">
      <c r="A45" s="99" t="n"/>
      <c r="B45" s="3" t="n"/>
      <c r="C45" s="1" t="n"/>
      <c r="D45" s="1" t="n"/>
      <c r="E45" s="1" t="n"/>
      <c r="F45" s="1" t="n"/>
      <c r="G45" s="1" t="n"/>
      <c r="H45" s="1" t="n"/>
      <c r="I45" s="1" t="n"/>
      <c r="L45" s="100" t="n"/>
    </row>
    <row r="46">
      <c r="A46" s="99" t="n"/>
      <c r="B46" s="51" t="inlineStr">
        <is>
          <t>Er. SUNIL KUMAR</t>
        </is>
      </c>
      <c r="C46" s="1" t="n"/>
      <c r="D46" s="1" t="n"/>
      <c r="E46" s="1" t="n"/>
      <c r="F46" s="1" t="n"/>
      <c r="G46" s="1" t="inlineStr">
        <is>
          <t xml:space="preserve">          # 304, Village: Daria,</t>
        </is>
      </c>
      <c r="H46" s="1" t="n"/>
      <c r="I46" s="1" t="n"/>
      <c r="L46" s="100" t="n"/>
    </row>
    <row r="47">
      <c r="A47" s="99" t="n"/>
      <c r="B47" s="1" t="inlineStr">
        <is>
          <t>SURVEYOR &amp; LOSS ASSESSOR</t>
        </is>
      </c>
      <c r="C47" s="1" t="n"/>
      <c r="D47" s="1" t="n"/>
      <c r="E47" s="1" t="n"/>
      <c r="F47" s="1" t="n"/>
      <c r="G47" s="1" t="inlineStr">
        <is>
          <t xml:space="preserve">          Near Railway Station, Chandigarh</t>
        </is>
      </c>
      <c r="H47" s="1" t="n"/>
      <c r="I47" s="1" t="n"/>
      <c r="L47" s="100" t="n"/>
    </row>
    <row r="48">
      <c r="A48" s="99" t="n"/>
      <c r="B48" s="1" t="inlineStr">
        <is>
          <t>LICENCE NO: 73070   EXPIRY: 08.02.2028</t>
        </is>
      </c>
      <c r="C48" s="1" t="n"/>
      <c r="D48" s="1" t="n"/>
      <c r="E48" s="1" t="n"/>
      <c r="F48" s="3" t="n"/>
      <c r="G48" s="1" t="inlineStr">
        <is>
          <t xml:space="preserve">          Mobile: 098761-35253</t>
        </is>
      </c>
      <c r="H48" s="1" t="n"/>
      <c r="I48" s="1" t="n"/>
      <c r="L48" s="100" t="n"/>
    </row>
    <row r="49">
      <c r="A49" s="99" t="n"/>
      <c r="B49" s="1" t="inlineStr">
        <is>
          <t>PAN NO:  AQUPK1480C</t>
        </is>
      </c>
      <c r="C49" s="1" t="n"/>
      <c r="D49" s="1" t="n"/>
      <c r="E49" s="1" t="n"/>
      <c r="F49" s="1" t="n"/>
      <c r="G49" s="1" t="inlineStr">
        <is>
          <t xml:space="preserve">          e-mail:- ksunilsurveyor@gmail.com</t>
        </is>
      </c>
      <c r="H49" s="1" t="n"/>
      <c r="I49" s="1" t="n"/>
      <c r="L49" s="100" t="n"/>
    </row>
    <row r="50">
      <c r="A50" s="99" t="n"/>
      <c r="B50" s="1" t="n"/>
      <c r="C50" s="1" t="n"/>
      <c r="D50" s="1" t="n"/>
      <c r="E50" s="1" t="n"/>
      <c r="F50" s="1" t="n"/>
      <c r="G50" s="1" t="n"/>
      <c r="H50" s="1" t="n"/>
      <c r="I50" s="1" t="n"/>
      <c r="L50" s="100" t="n"/>
    </row>
    <row r="51">
      <c r="A51" s="101" t="n"/>
      <c r="B51" s="102" t="n"/>
      <c r="C51" s="102" t="n"/>
      <c r="D51" s="102" t="n"/>
      <c r="E51" s="102" t="n"/>
      <c r="F51" s="102" t="n"/>
      <c r="G51" s="102" t="n"/>
      <c r="H51" s="102" t="n"/>
      <c r="I51" s="102" t="n"/>
      <c r="J51" s="102" t="n"/>
      <c r="K51" s="102" t="n"/>
      <c r="L51" s="103" t="n"/>
    </row>
  </sheetData>
  <mergeCells count="1">
    <mergeCell ref="F7:K7"/>
  </mergeCells>
  <pageMargins left="0.95" right="0.2" top="0.75" bottom="0.5" header="0.3" footer="0.3"/>
  <pageSetup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59"/>
  <sheetViews>
    <sheetView view="normal" workbookViewId="0">
      <selection activeCell="Q26" sqref="Q26"/>
    </sheetView>
  </sheetViews>
  <sheetFormatPr baseColWidth="8" defaultRowHeight="13.45"/>
  <cols>
    <col width="3.833333" customWidth="1" style="1" min="1" max="1"/>
    <col width="4.5" customWidth="1" style="1" min="2" max="2"/>
    <col width="9.333333" customWidth="1" style="1" min="3" max="4"/>
    <col width="10" customWidth="1" style="1" min="5" max="5"/>
    <col width="13.666667" customWidth="1" style="1" min="6" max="6"/>
    <col width="11" customWidth="1" style="1" min="7" max="8"/>
    <col width="9.333333" customWidth="1" style="1" min="9" max="10"/>
    <col width="6.333333" customWidth="1" style="1" min="11" max="11"/>
    <col width="14.833333" customWidth="1" style="1" min="12" max="12"/>
    <col width="6.166667" customWidth="1" style="1" min="13" max="13"/>
    <col width="9.333333" customWidth="1" style="1" min="14" max="257"/>
  </cols>
  <sheetData>
    <row r="1">
      <c r="B1" s="67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87" t="n"/>
    </row>
    <row r="2">
      <c r="B2" s="2" t="n"/>
      <c r="M2" s="4" t="n"/>
    </row>
    <row r="3">
      <c r="B3" s="2" t="n"/>
      <c r="C3" s="51" t="inlineStr">
        <is>
          <t>Er. SUNIL KUMAR</t>
        </is>
      </c>
      <c r="J3" s="1" t="inlineStr">
        <is>
          <t xml:space="preserve"># 304, Village: Daria, </t>
        </is>
      </c>
      <c r="M3" s="4" t="n"/>
    </row>
    <row r="4">
      <c r="B4" s="2" t="n"/>
      <c r="C4" s="1" t="inlineStr">
        <is>
          <t>SURVEYOR &amp; LOSS ASSESSOR</t>
        </is>
      </c>
      <c r="D4" s="3" t="n"/>
      <c r="J4" s="1" t="inlineStr">
        <is>
          <t>Near Railway Station, Chandigarh</t>
        </is>
      </c>
      <c r="M4" s="4" t="n"/>
    </row>
    <row r="5">
      <c r="B5" s="2" t="n"/>
      <c r="C5" s="1" t="inlineStr">
        <is>
          <t>LICENCE NO: 73070  EXPIRY: 08.02.2028</t>
        </is>
      </c>
      <c r="I5" s="3" t="n"/>
      <c r="J5" s="1" t="inlineStr">
        <is>
          <t>Mobile: 098761-35253</t>
        </is>
      </c>
      <c r="M5" s="4" t="n"/>
    </row>
    <row r="6">
      <c r="B6" s="2" t="n"/>
      <c r="C6" s="6" t="inlineStr">
        <is>
          <t>PAN NO:  AQUPK1480C</t>
        </is>
      </c>
      <c r="D6" s="6" t="n"/>
      <c r="E6" s="6" t="n"/>
      <c r="F6" s="6" t="n"/>
      <c r="G6" s="6" t="n"/>
      <c r="H6" s="6" t="n"/>
      <c r="I6" s="6" t="n"/>
      <c r="J6" s="6" t="inlineStr">
        <is>
          <t>E-mail: ksunilsurveyor@gmail.com</t>
        </is>
      </c>
      <c r="K6" s="6" t="n"/>
      <c r="L6" s="6" t="n"/>
      <c r="M6" s="4" t="n"/>
    </row>
    <row r="7" ht="3" customHeight="1">
      <c r="B7" s="2" t="n"/>
      <c r="C7" s="50" t="n"/>
      <c r="D7" s="50" t="n"/>
      <c r="E7" s="50" t="n"/>
      <c r="F7" s="50" t="n"/>
      <c r="G7" s="50" t="n"/>
      <c r="H7" s="50" t="n"/>
      <c r="I7" s="50" t="n"/>
      <c r="J7" s="50" t="n"/>
      <c r="K7" s="50" t="n"/>
      <c r="L7" s="50" t="n"/>
      <c r="M7" s="4" t="n"/>
    </row>
    <row r="8">
      <c r="B8" s="2" t="n"/>
      <c r="C8" s="3" t="n"/>
      <c r="K8" s="8" t="n"/>
      <c r="L8" s="243" t="n"/>
      <c r="M8" s="4" t="n"/>
    </row>
    <row r="9">
      <c r="B9" s="134" t="n"/>
      <c r="M9" s="4" t="n"/>
    </row>
    <row r="10">
      <c r="B10" s="2" t="n"/>
      <c r="C10" s="3" t="inlineStr">
        <is>
          <t>Ref:</t>
        </is>
      </c>
      <c r="D10" s="1">
        <f>Sheet1!C8</f>
        <v/>
      </c>
      <c r="K10" s="8" t="inlineStr">
        <is>
          <t>Date:</t>
        </is>
      </c>
      <c r="L10" s="242">
        <f>Sheet1!K8</f>
        <v/>
      </c>
      <c r="M10" s="4" t="n"/>
    </row>
    <row r="11">
      <c r="B11" s="2" t="n"/>
      <c r="C11" s="3" t="n"/>
      <c r="K11" s="8" t="n"/>
      <c r="L11" s="243" t="n"/>
      <c r="M11" s="4" t="n"/>
    </row>
    <row r="12">
      <c r="B12" s="2" t="n"/>
      <c r="C12" s="3" t="n"/>
      <c r="F12" s="135" t="inlineStr">
        <is>
          <t>SURVEY FEE BILL</t>
        </is>
      </c>
      <c r="K12" s="8" t="n"/>
      <c r="L12" s="243" t="n"/>
      <c r="M12" s="4" t="n"/>
    </row>
    <row r="13">
      <c r="B13" s="2" t="n"/>
      <c r="F13" s="136" t="n"/>
      <c r="G13" s="137" t="n"/>
      <c r="M13" s="4" t="n"/>
    </row>
    <row r="14">
      <c r="B14" s="138" t="n"/>
      <c r="M14" s="4" t="n"/>
    </row>
    <row r="15">
      <c r="B15" s="2" t="n"/>
      <c r="C15" s="3" t="inlineStr">
        <is>
          <t>INSURED</t>
        </is>
      </c>
      <c r="G15" s="1">
        <f>Sheet1!G18</f>
        <v/>
      </c>
      <c r="M15" s="4" t="n"/>
    </row>
    <row r="16">
      <c r="B16" s="2" t="n"/>
      <c r="G16" s="1">
        <f>Sheet1!G19</f>
        <v/>
      </c>
      <c r="M16" s="4" t="n"/>
    </row>
    <row r="17">
      <c r="B17" s="138" t="n"/>
      <c r="M17" s="4" t="n"/>
    </row>
    <row r="18">
      <c r="B18" s="2" t="n"/>
      <c r="C18" s="3" t="inlineStr">
        <is>
          <t>INSURERS</t>
        </is>
      </c>
      <c r="G18" s="13">
        <f>Sheet1!G13</f>
        <v/>
      </c>
      <c r="M18" s="4" t="n"/>
    </row>
    <row r="19">
      <c r="B19" s="2" t="n"/>
      <c r="G19" s="13">
        <f>Sheet1!G14</f>
        <v/>
      </c>
      <c r="H19" s="13" t="n"/>
      <c r="M19" s="4" t="n"/>
    </row>
    <row r="20">
      <c r="B20" s="2" t="inlineStr">
        <is>
          <t>                                                                                                 </t>
        </is>
      </c>
      <c r="G20" s="13">
        <f>Sheet1!G15</f>
        <v/>
      </c>
      <c r="M20" s="4" t="n"/>
    </row>
    <row r="21">
      <c r="B21" s="2" t="n"/>
      <c r="M21" s="4" t="n"/>
    </row>
    <row r="22">
      <c r="B22" s="2" t="n"/>
      <c r="C22" s="3" t="inlineStr">
        <is>
          <t>VEHICLE/ITEM</t>
        </is>
      </c>
      <c r="G22" s="11">
        <f>Sheet1!G25</f>
        <v/>
      </c>
      <c r="M22" s="4" t="n"/>
    </row>
    <row r="23">
      <c r="B23" s="2" t="n"/>
      <c r="C23" s="1" t="inlineStr">
        <is>
          <t>Make &amp; Year of Manufacturer</t>
        </is>
      </c>
      <c r="G23" s="13">
        <f>Sheet1!G31</f>
        <v/>
      </c>
      <c r="M23" s="4" t="n"/>
    </row>
    <row r="24">
      <c r="B24" s="134" t="n"/>
      <c r="M24" s="4" t="n"/>
    </row>
    <row r="25">
      <c r="B25" s="2" t="n"/>
      <c r="C25" s="3" t="inlineStr">
        <is>
          <t>C NOTE/POLICY NO.</t>
        </is>
      </c>
      <c r="G25" s="11">
        <f>Sheet1!G16</f>
        <v/>
      </c>
      <c r="J25" s="8" t="inlineStr">
        <is>
          <t>Period:</t>
        </is>
      </c>
      <c r="K25" s="13">
        <f>Sheet1!K16</f>
        <v/>
      </c>
      <c r="M25" s="4" t="n"/>
    </row>
    <row r="26" ht="9" customHeight="1">
      <c r="B26" s="2" t="n"/>
      <c r="C26" s="47" t="n"/>
      <c r="D26" s="6" t="n"/>
      <c r="E26" s="6" t="n"/>
      <c r="F26" s="6" t="n"/>
      <c r="G26" s="108" t="n"/>
      <c r="H26" s="139" t="n"/>
      <c r="I26" s="130" t="n"/>
      <c r="J26" s="6" t="n"/>
      <c r="K26" s="6" t="n"/>
      <c r="L26" s="6" t="n"/>
      <c r="M26" s="4" t="n"/>
    </row>
    <row r="27" ht="9" customHeight="1">
      <c r="B27" s="2" t="n"/>
      <c r="C27" s="3" t="n"/>
      <c r="G27" s="11" t="n"/>
      <c r="H27" s="8" t="n"/>
      <c r="I27" s="13" t="n"/>
      <c r="M27" s="4" t="n"/>
    </row>
    <row r="28">
      <c r="B28" s="2" t="n"/>
      <c r="C28" s="3" t="inlineStr">
        <is>
          <t>PROFESSIONAL FEE</t>
        </is>
      </c>
      <c r="G28" s="53" t="inlineStr">
        <is>
          <t>Rs</t>
        </is>
      </c>
      <c r="H28" s="32" t="n">
        <v>1800</v>
      </c>
      <c r="I28" s="140" t="n"/>
      <c r="M28" s="4" t="n"/>
    </row>
    <row r="29">
      <c r="B29" s="134" t="n"/>
      <c r="G29" s="53" t="n"/>
      <c r="M29" s="4" t="n"/>
    </row>
    <row r="30">
      <c r="B30" s="2" t="n"/>
      <c r="C30" s="3" t="inlineStr">
        <is>
          <t>CONVEYANCE CHARGES</t>
        </is>
      </c>
      <c r="G30" s="53" t="inlineStr">
        <is>
          <t>Rs</t>
        </is>
      </c>
      <c r="H30" s="32" t="n">
        <v>500</v>
      </c>
      <c r="M30" s="4" t="n"/>
    </row>
    <row r="31">
      <c r="B31" s="134" t="n"/>
      <c r="G31" s="53" t="n"/>
      <c r="M31" s="4" t="n"/>
    </row>
    <row r="32">
      <c r="B32" s="2" t="n"/>
      <c r="C32" s="3" t="inlineStr">
        <is>
          <t>PHOTOGRAPHS</t>
        </is>
      </c>
      <c r="E32" s="1" t="inlineStr">
        <is>
          <t>(20x10=200.00)</t>
        </is>
      </c>
      <c r="G32" s="53" t="inlineStr">
        <is>
          <t>Rs</t>
        </is>
      </c>
      <c r="H32" s="32" t="n">
        <v>200</v>
      </c>
      <c r="M32" s="4" t="n"/>
    </row>
    <row r="33">
      <c r="B33" s="134" t="n"/>
      <c r="C33" s="1" t="inlineStr">
        <is>
          <t>(Digital Photographs)</t>
        </is>
      </c>
      <c r="G33" s="53" t="n"/>
      <c r="M33" s="4" t="n"/>
    </row>
    <row r="34">
      <c r="B34" s="134" t="n"/>
      <c r="G34" s="53" t="n"/>
      <c r="M34" s="4" t="n"/>
    </row>
    <row r="35">
      <c r="B35" s="2" t="n"/>
      <c r="C35" s="3" t="inlineStr">
        <is>
          <t>DAILY ALLOWANCE</t>
        </is>
      </c>
      <c r="G35" s="53" t="inlineStr">
        <is>
          <t>Rs</t>
        </is>
      </c>
      <c r="H35" s="32" t="n">
        <v>0</v>
      </c>
      <c r="M35" s="4" t="n"/>
    </row>
    <row r="36">
      <c r="B36" s="134" t="n"/>
      <c r="G36" s="53" t="n"/>
      <c r="M36" s="4" t="n"/>
    </row>
    <row r="37">
      <c r="B37" s="2" t="n"/>
      <c r="C37" s="3" t="inlineStr">
        <is>
          <t>MISCELLANEOUS</t>
        </is>
      </c>
      <c r="G37" s="53" t="inlineStr">
        <is>
          <t>Rs</t>
        </is>
      </c>
      <c r="H37" s="32" t="n">
        <v>0</v>
      </c>
      <c r="M37" s="4" t="n"/>
    </row>
    <row r="38">
      <c r="B38" s="2" t="n"/>
      <c r="G38" s="53" t="n"/>
      <c r="H38" s="1" t="inlineStr">
        <is>
          <t>----------------------</t>
        </is>
      </c>
      <c r="M38" s="4" t="n"/>
    </row>
    <row r="39">
      <c r="B39" s="2" t="n"/>
      <c r="F39" s="8" t="inlineStr">
        <is>
          <t>TOTAL</t>
        </is>
      </c>
      <c r="G39" s="53" t="inlineStr">
        <is>
          <t>Rs</t>
        </is>
      </c>
      <c r="H39" s="32">
        <f>SUM(H28:H37)</f>
        <v/>
      </c>
      <c r="M39" s="4" t="n"/>
    </row>
    <row r="40">
      <c r="B40" s="2" t="n"/>
      <c r="H40" s="1" t="inlineStr">
        <is>
          <t>----------------------</t>
        </is>
      </c>
      <c r="M40" s="4" t="n"/>
    </row>
    <row r="41">
      <c r="B41" s="2" t="n"/>
      <c r="M41" s="4" t="n"/>
    </row>
    <row r="42">
      <c r="B42" s="134" t="n"/>
      <c r="C42" s="13" t="n"/>
      <c r="M42" s="4" t="n"/>
    </row>
    <row r="43">
      <c r="B43" s="134" t="n"/>
      <c r="M43" s="4" t="n"/>
    </row>
    <row r="44">
      <c r="B44" s="134" t="n"/>
      <c r="C44" s="157" t="inlineStr">
        <is>
          <t>SURVEYOR CODE:</t>
        </is>
      </c>
      <c r="D44" s="158" t="n"/>
      <c r="E44" s="158" t="n"/>
      <c r="F44" s="167" t="inlineStr">
        <is>
          <t>SU00033917</t>
        </is>
      </c>
      <c r="G44" s="168" t="n"/>
      <c r="M44" s="4" t="n"/>
    </row>
    <row r="45">
      <c r="B45" s="2" t="n"/>
      <c r="M45" s="4" t="n"/>
    </row>
    <row r="46">
      <c r="B46" s="2" t="n"/>
      <c r="M46" s="4" t="n"/>
    </row>
    <row r="47">
      <c r="B47" s="2" t="n"/>
      <c r="M47" s="4" t="n"/>
    </row>
    <row r="48">
      <c r="B48" s="2" t="n"/>
      <c r="C48" s="141" t="inlineStr">
        <is>
          <t xml:space="preserve">     FOR NEFT PAYMENT</t>
        </is>
      </c>
      <c r="D48" s="142" t="n"/>
      <c r="E48" s="142" t="n"/>
      <c r="F48" s="143" t="n"/>
      <c r="J48" s="3" t="inlineStr">
        <is>
          <t>(SUNIL KUMAR)</t>
        </is>
      </c>
      <c r="M48" s="4" t="n"/>
    </row>
    <row r="49">
      <c r="B49" s="2" t="n"/>
      <c r="C49" s="144" t="n"/>
      <c r="D49" s="145" t="n"/>
      <c r="E49" s="146" t="n"/>
      <c r="F49" s="147" t="n"/>
      <c r="M49" s="4" t="n"/>
    </row>
    <row r="50">
      <c r="B50" s="2" t="n"/>
      <c r="C50" s="148" t="inlineStr">
        <is>
          <t xml:space="preserve">     BANK ACCOUNT DETAILS</t>
        </is>
      </c>
      <c r="D50" s="145" t="n"/>
      <c r="E50" s="146" t="n"/>
      <c r="F50" s="147" t="n"/>
      <c r="M50" s="4" t="n"/>
    </row>
    <row r="51">
      <c r="B51" s="2" t="n"/>
      <c r="C51" s="144" t="inlineStr">
        <is>
          <t xml:space="preserve">     BANK NAME:</t>
        </is>
      </c>
      <c r="D51" s="145" t="n"/>
      <c r="E51" s="145" t="inlineStr">
        <is>
          <t>BANK OF INDIA</t>
        </is>
      </c>
      <c r="F51" s="149" t="n"/>
      <c r="M51" s="4" t="n"/>
    </row>
    <row r="52">
      <c r="B52" s="2" t="n"/>
      <c r="C52" s="144" t="inlineStr">
        <is>
          <t xml:space="preserve">     A/C NUMBER:</t>
        </is>
      </c>
      <c r="D52" s="145" t="n"/>
      <c r="E52" s="240" t="inlineStr">
        <is>
          <t>620110110000751</t>
        </is>
      </c>
      <c r="F52" s="149" t="n"/>
      <c r="M52" s="4" t="n"/>
    </row>
    <row r="53">
      <c r="B53" s="2" t="n"/>
      <c r="C53" s="144" t="inlineStr">
        <is>
          <t xml:space="preserve">     A/C TYPE:</t>
        </is>
      </c>
      <c r="D53" s="145" t="n"/>
      <c r="E53" s="145" t="inlineStr">
        <is>
          <t>SAVING</t>
        </is>
      </c>
      <c r="F53" s="149" t="n"/>
      <c r="M53" s="4" t="n"/>
    </row>
    <row r="54">
      <c r="B54" s="2" t="n"/>
      <c r="C54" s="144" t="inlineStr">
        <is>
          <t xml:space="preserve">     IFSC CODE:</t>
        </is>
      </c>
      <c r="D54" s="145" t="n"/>
      <c r="E54" s="145" t="inlineStr">
        <is>
          <t>BKID0006201</t>
        </is>
      </c>
      <c r="F54" s="147" t="n"/>
      <c r="M54" s="4" t="n"/>
    </row>
    <row r="55">
      <c r="B55" s="2" t="n"/>
      <c r="C55" s="150" t="inlineStr">
        <is>
          <t xml:space="preserve">     MICRO CODE:</t>
        </is>
      </c>
      <c r="D55" s="151" t="n"/>
      <c r="E55" s="241" t="inlineStr">
        <is>
          <t>160013003</t>
        </is>
      </c>
      <c r="F55" s="152" t="n"/>
      <c r="M55" s="4" t="n"/>
    </row>
    <row r="56">
      <c r="B56" s="2" t="n"/>
      <c r="M56" s="4" t="n"/>
    </row>
    <row r="57">
      <c r="B57" s="2" t="n"/>
      <c r="M57" s="4" t="n"/>
    </row>
    <row r="58">
      <c r="B58" s="2" t="n"/>
      <c r="M58" s="4" t="n"/>
    </row>
    <row r="59">
      <c r="B59" s="5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7" t="n"/>
    </row>
  </sheetData>
  <printOptions horizontalCentered="1"/>
  <pageMargins left="0.45" right="0.45" top="0.5" bottom="0.5" header="0.3" footer="0.3"/>
  <pageSetup paperSize="1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"/>
  <sheetViews>
    <sheetView view="normal" workbookViewId="0">
      <selection activeCell="G56" sqref="G56"/>
    </sheetView>
  </sheetViews>
  <sheetFormatPr baseColWidth="8" defaultRowHeight="13.45"/>
  <cols>
    <col width="4.5" customWidth="1" style="1" min="1" max="1"/>
    <col width="9.333333" customWidth="1" style="1" min="2" max="6"/>
    <col width="11.5" customWidth="1" style="1" min="7" max="7"/>
    <col width="9.333333" customWidth="1" style="1" min="8" max="257"/>
  </cols>
  <sheetData>
    <row r="1">
      <c r="A1" s="67" t="n"/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87" t="n"/>
    </row>
    <row r="2">
      <c r="A2" s="2" t="n"/>
      <c r="M2" s="4" t="n"/>
    </row>
    <row r="3">
      <c r="A3" s="2" t="n"/>
      <c r="B3" s="163" t="inlineStr">
        <is>
          <t>CASHLESS----PAYMENT TO:-</t>
        </is>
      </c>
      <c r="I3" s="56">
        <f>Sheet1!G68</f>
        <v/>
      </c>
      <c r="M3" s="4" t="n"/>
    </row>
    <row r="4">
      <c r="A4" s="2" t="n"/>
      <c r="B4" s="3" t="n"/>
      <c r="I4" s="3" t="n"/>
      <c r="M4" s="4" t="n"/>
    </row>
    <row r="5">
      <c r="A5" s="2" t="n"/>
      <c r="M5" s="4" t="n"/>
    </row>
    <row r="6">
      <c r="A6" s="162" t="n">
        <v>1</v>
      </c>
      <c r="B6" s="3" t="inlineStr">
        <is>
          <t>INSURED NAME</t>
        </is>
      </c>
      <c r="F6" s="3" t="inlineStr">
        <is>
          <t>:</t>
        </is>
      </c>
      <c r="G6" s="1">
        <f>Sheet1!G18</f>
        <v/>
      </c>
      <c r="M6" s="4" t="n"/>
    </row>
    <row r="7">
      <c r="A7" s="162" t="n">
        <v>2</v>
      </c>
      <c r="B7" s="3" t="inlineStr">
        <is>
          <t>POLICY NO. &amp; PERIOD</t>
        </is>
      </c>
      <c r="F7" s="3" t="inlineStr">
        <is>
          <t>:</t>
        </is>
      </c>
      <c r="G7" s="1">
        <f>Sheet1!G16</f>
        <v/>
      </c>
      <c r="J7" s="8" t="inlineStr">
        <is>
          <t>Period:</t>
        </is>
      </c>
      <c r="K7" s="1">
        <f>Sheet1!K16</f>
        <v/>
      </c>
      <c r="M7" s="4" t="n"/>
    </row>
    <row r="8">
      <c r="A8" s="162" t="n">
        <v>3</v>
      </c>
      <c r="B8" s="3" t="inlineStr">
        <is>
          <t>VEHICLE NO.</t>
        </is>
      </c>
      <c r="F8" s="3" t="inlineStr">
        <is>
          <t>:</t>
        </is>
      </c>
      <c r="G8" s="3">
        <f>Sheet1!G25</f>
        <v/>
      </c>
      <c r="M8" s="4" t="n"/>
    </row>
    <row r="9">
      <c r="A9" s="162" t="n">
        <v>4</v>
      </c>
      <c r="B9" s="3" t="inlineStr">
        <is>
          <t>DATE OF LOSS</t>
        </is>
      </c>
      <c r="F9" s="3" t="inlineStr">
        <is>
          <t>:</t>
        </is>
      </c>
      <c r="G9" s="1">
        <f>Sheet1!G57</f>
        <v/>
      </c>
      <c r="M9" s="4" t="n"/>
    </row>
    <row r="10">
      <c r="A10" s="162" t="n">
        <v>5</v>
      </c>
      <c r="B10" s="3" t="inlineStr">
        <is>
          <t>BILL GENERATION DATE</t>
        </is>
      </c>
      <c r="F10" s="3" t="inlineStr">
        <is>
          <t>:</t>
        </is>
      </c>
      <c r="M10" s="4" t="n"/>
    </row>
    <row r="11">
      <c r="A11" s="2" t="n"/>
      <c r="F11" s="3" t="inlineStr">
        <is>
          <t>:</t>
        </is>
      </c>
      <c r="M11" s="4" t="n"/>
    </row>
    <row r="12">
      <c r="A12" s="2" t="n"/>
      <c r="B12" s="10" t="inlineStr">
        <is>
          <t>LIST OF DOCUMENTS CHECK AND FOUIND IN ORDER</t>
        </is>
      </c>
      <c r="F12" s="3" t="n"/>
      <c r="M12" s="4" t="n"/>
    </row>
    <row r="13">
      <c r="A13" s="2" t="n"/>
      <c r="F13" s="3" t="n"/>
      <c r="M13" s="4" t="n"/>
    </row>
    <row r="14">
      <c r="A14" s="120" t="n">
        <v>1</v>
      </c>
      <c r="B14" s="1" t="inlineStr">
        <is>
          <t>SURVEOR DEPUTATION</t>
        </is>
      </c>
      <c r="F14" s="3" t="inlineStr">
        <is>
          <t>:</t>
        </is>
      </c>
      <c r="G14" s="1" t="inlineStr">
        <is>
          <t>Attached</t>
        </is>
      </c>
      <c r="M14" s="4" t="n"/>
    </row>
    <row r="15">
      <c r="A15" s="120" t="n">
        <v>2</v>
      </c>
      <c r="B15" s="1" t="inlineStr">
        <is>
          <t>INTIMATION</t>
        </is>
      </c>
      <c r="F15" s="3" t="inlineStr">
        <is>
          <t>:</t>
        </is>
      </c>
      <c r="G15" s="1" t="inlineStr">
        <is>
          <t>Attached</t>
        </is>
      </c>
      <c r="M15" s="4" t="n"/>
    </row>
    <row r="16">
      <c r="A16" s="120" t="n">
        <v>3</v>
      </c>
      <c r="B16" s="1" t="inlineStr">
        <is>
          <t>CLAIM FORM</t>
        </is>
      </c>
      <c r="F16" s="3" t="inlineStr">
        <is>
          <t>:</t>
        </is>
      </c>
      <c r="G16" s="1" t="inlineStr">
        <is>
          <t>Attached</t>
        </is>
      </c>
      <c r="M16" s="4" t="n"/>
    </row>
    <row r="17">
      <c r="A17" s="120" t="n">
        <v>4</v>
      </c>
      <c r="B17" s="1" t="inlineStr">
        <is>
          <t>POLICY COPY</t>
        </is>
      </c>
      <c r="F17" s="3" t="inlineStr">
        <is>
          <t>:</t>
        </is>
      </c>
      <c r="G17" s="1" t="inlineStr">
        <is>
          <t>Attached</t>
        </is>
      </c>
      <c r="M17" s="4" t="n"/>
    </row>
    <row r="18">
      <c r="A18" s="120" t="n">
        <v>5</v>
      </c>
      <c r="B18" s="1" t="inlineStr">
        <is>
          <t>PREVIOUS POLICY</t>
        </is>
      </c>
      <c r="F18" s="3" t="inlineStr">
        <is>
          <t>:</t>
        </is>
      </c>
      <c r="G18" s="1" t="inlineStr">
        <is>
          <t>Attached</t>
        </is>
      </c>
      <c r="M18" s="4" t="n"/>
    </row>
    <row r="19">
      <c r="A19" s="120" t="n">
        <v>6</v>
      </c>
      <c r="B19" s="1" t="inlineStr">
        <is>
          <t>TP POLICY (BUNDLED)</t>
        </is>
      </c>
      <c r="F19" s="3" t="inlineStr">
        <is>
          <t>:</t>
        </is>
      </c>
      <c r="G19" s="1" t="inlineStr">
        <is>
          <t>Attached</t>
        </is>
      </c>
      <c r="M19" s="4" t="n"/>
    </row>
    <row r="20">
      <c r="A20" s="120" t="n">
        <v>7</v>
      </c>
      <c r="B20" s="1" t="inlineStr">
        <is>
          <t>64VB</t>
        </is>
      </c>
      <c r="F20" s="3" t="inlineStr">
        <is>
          <t>:</t>
        </is>
      </c>
      <c r="G20" s="1" t="inlineStr">
        <is>
          <t>Attached</t>
        </is>
      </c>
      <c r="M20" s="4" t="n"/>
    </row>
    <row r="21">
      <c r="A21" s="120" t="n">
        <v>8</v>
      </c>
      <c r="B21" s="1" t="inlineStr">
        <is>
          <t>NO CLAIM BONUS</t>
        </is>
      </c>
      <c r="F21" s="3" t="inlineStr">
        <is>
          <t>:</t>
        </is>
      </c>
      <c r="G21" s="1" t="inlineStr">
        <is>
          <t>NIL</t>
        </is>
      </c>
      <c r="M21" s="4" t="n"/>
    </row>
    <row r="22">
      <c r="A22" s="120" t="n">
        <v>9</v>
      </c>
      <c r="B22" s="1" t="inlineStr">
        <is>
          <t>GAP REPORT</t>
        </is>
      </c>
      <c r="F22" s="3" t="inlineStr">
        <is>
          <t>:</t>
        </is>
      </c>
      <c r="G22" s="1" t="inlineStr">
        <is>
          <t>N.A.</t>
        </is>
      </c>
      <c r="M22" s="4" t="n"/>
    </row>
    <row r="23">
      <c r="A23" s="120" t="n">
        <v>10</v>
      </c>
      <c r="B23" s="1" t="inlineStr">
        <is>
          <t>DL &amp; RC</t>
        </is>
      </c>
      <c r="F23" s="3" t="inlineStr">
        <is>
          <t>:</t>
        </is>
      </c>
      <c r="G23" s="1" t="inlineStr">
        <is>
          <t>Attached</t>
        </is>
      </c>
      <c r="M23" s="4" t="n"/>
    </row>
    <row r="24">
      <c r="A24" s="120" t="n">
        <v>11</v>
      </c>
      <c r="B24" s="1" t="inlineStr">
        <is>
          <t>ONLINE VERIFICATION</t>
        </is>
      </c>
      <c r="F24" s="3" t="inlineStr">
        <is>
          <t>:</t>
        </is>
      </c>
      <c r="G24" s="1" t="inlineStr">
        <is>
          <t>Attached</t>
        </is>
      </c>
      <c r="M24" s="4" t="n"/>
    </row>
    <row r="25">
      <c r="A25" s="159" t="n">
        <v>12</v>
      </c>
      <c r="B25" s="83" t="inlineStr">
        <is>
          <t>ONLY FOR COMERCIAL VEHICLE</t>
        </is>
      </c>
      <c r="C25" s="62" t="n"/>
      <c r="D25" s="62" t="n"/>
      <c r="E25" s="62" t="n"/>
      <c r="F25" s="83" t="inlineStr">
        <is>
          <t>:</t>
        </is>
      </c>
      <c r="G25" s="83" t="inlineStr">
        <is>
          <t>PERMIT</t>
        </is>
      </c>
      <c r="H25" s="83" t="n"/>
      <c r="I25" s="62" t="n"/>
      <c r="J25" s="62" t="inlineStr">
        <is>
          <t>N.A.</t>
        </is>
      </c>
      <c r="K25" s="83" t="n"/>
      <c r="L25" s="62" t="n"/>
      <c r="M25" s="87" t="n"/>
    </row>
    <row r="26">
      <c r="A26" s="120" t="n"/>
      <c r="B26" s="3" t="n"/>
      <c r="F26" s="3" t="n"/>
      <c r="G26" s="3" t="inlineStr">
        <is>
          <t>MV TAX</t>
        </is>
      </c>
      <c r="H26" s="3" t="n"/>
      <c r="J26" s="1" t="inlineStr">
        <is>
          <t>N.A.</t>
        </is>
      </c>
      <c r="K26" s="3" t="n"/>
      <c r="M26" s="4" t="n"/>
    </row>
    <row r="27">
      <c r="A27" s="120" t="n"/>
      <c r="B27" s="3" t="n"/>
      <c r="F27" s="3" t="n"/>
      <c r="G27" s="3" t="inlineStr">
        <is>
          <t>STATE ENTRY TAX</t>
        </is>
      </c>
      <c r="H27" s="3" t="n"/>
      <c r="J27" s="1" t="inlineStr">
        <is>
          <t>N.A.</t>
        </is>
      </c>
      <c r="K27" s="3" t="n"/>
      <c r="M27" s="4" t="n"/>
    </row>
    <row r="28">
      <c r="A28" s="120" t="n"/>
      <c r="B28" s="3" t="n"/>
      <c r="F28" s="3" t="n"/>
      <c r="G28" s="3" t="inlineStr">
        <is>
          <t>AUTHORIZATION</t>
        </is>
      </c>
      <c r="H28" s="3" t="n"/>
      <c r="J28" s="1" t="inlineStr">
        <is>
          <t>N.A.</t>
        </is>
      </c>
      <c r="K28" s="3" t="n"/>
      <c r="M28" s="4" t="n"/>
    </row>
    <row r="29">
      <c r="A29" s="120" t="n"/>
      <c r="B29" s="3" t="n"/>
      <c r="F29" s="3" t="n"/>
      <c r="G29" s="3" t="inlineStr">
        <is>
          <t>FITNESS</t>
        </is>
      </c>
      <c r="H29" s="3" t="n"/>
      <c r="J29" s="1" t="inlineStr">
        <is>
          <t>N.A.</t>
        </is>
      </c>
      <c r="K29" s="3" t="n"/>
      <c r="M29" s="4" t="n"/>
    </row>
    <row r="30">
      <c r="A30" s="119" t="n"/>
      <c r="B30" s="47" t="n"/>
      <c r="C30" s="6" t="n"/>
      <c r="D30" s="6" t="n"/>
      <c r="E30" s="6" t="n"/>
      <c r="F30" s="47" t="n"/>
      <c r="G30" s="47" t="inlineStr">
        <is>
          <t>STATE ENTRY TAX</t>
        </is>
      </c>
      <c r="H30" s="47" t="n"/>
      <c r="I30" s="6" t="n"/>
      <c r="J30" s="6" t="inlineStr">
        <is>
          <t>N.A.</t>
        </is>
      </c>
      <c r="K30" s="6" t="n"/>
      <c r="L30" s="6" t="n"/>
      <c r="M30" s="7" t="n"/>
    </row>
    <row r="31">
      <c r="A31" s="120" t="n">
        <v>13</v>
      </c>
      <c r="B31" s="1" t="inlineStr">
        <is>
          <t>NO TP LOSS AFFIDAVIT</t>
        </is>
      </c>
      <c r="F31" s="3" t="inlineStr">
        <is>
          <t>:</t>
        </is>
      </c>
      <c r="G31" s="1" t="inlineStr">
        <is>
          <t>N.A.</t>
        </is>
      </c>
      <c r="M31" s="4" t="n"/>
    </row>
    <row r="32">
      <c r="A32" s="120" t="n">
        <v>14</v>
      </c>
      <c r="B32" s="1" t="inlineStr">
        <is>
          <t>KYC FORM (PAN +AADHAR)</t>
        </is>
      </c>
      <c r="F32" s="3" t="inlineStr">
        <is>
          <t>:</t>
        </is>
      </c>
      <c r="G32" s="1" t="inlineStr">
        <is>
          <t>N.A.</t>
        </is>
      </c>
      <c r="I32" s="42" t="inlineStr">
        <is>
          <t>PAN+AADHAR</t>
        </is>
      </c>
      <c r="J32" s="20" t="n"/>
      <c r="K32" s="22" t="inlineStr">
        <is>
          <t>Attached</t>
        </is>
      </c>
      <c r="M32" s="4" t="n"/>
    </row>
    <row r="33">
      <c r="A33" s="120" t="n">
        <v>15</v>
      </c>
      <c r="B33" s="1" t="inlineStr">
        <is>
          <t>PHOTOGRAPHS</t>
        </is>
      </c>
      <c r="F33" s="3" t="inlineStr">
        <is>
          <t>:</t>
        </is>
      </c>
      <c r="G33" s="1" t="inlineStr">
        <is>
          <t>Attached</t>
        </is>
      </c>
      <c r="M33" s="4" t="n"/>
    </row>
    <row r="34">
      <c r="A34" s="120" t="n">
        <v>16</v>
      </c>
      <c r="B34" s="1" t="inlineStr">
        <is>
          <t>SURVEY REPORT</t>
        </is>
      </c>
      <c r="F34" s="3" t="inlineStr">
        <is>
          <t>:</t>
        </is>
      </c>
      <c r="G34" s="1" t="inlineStr">
        <is>
          <t>Attached</t>
        </is>
      </c>
      <c r="M34" s="4" t="n"/>
    </row>
    <row r="35">
      <c r="A35" s="120" t="n">
        <v>17</v>
      </c>
      <c r="B35" s="1" t="inlineStr">
        <is>
          <t>SURVEY FEE BILL</t>
        </is>
      </c>
      <c r="F35" s="3" t="inlineStr">
        <is>
          <t>:</t>
        </is>
      </c>
      <c r="G35" s="1" t="inlineStr">
        <is>
          <t>Attached</t>
        </is>
      </c>
      <c r="M35" s="4" t="n"/>
    </row>
    <row r="36">
      <c r="A36" s="120" t="n">
        <v>18</v>
      </c>
      <c r="B36" s="1" t="inlineStr">
        <is>
          <t>ESTIMATE</t>
        </is>
      </c>
      <c r="F36" s="3" t="inlineStr">
        <is>
          <t>:</t>
        </is>
      </c>
      <c r="G36" s="1" t="inlineStr">
        <is>
          <t>Attached</t>
        </is>
      </c>
      <c r="M36" s="4" t="n"/>
    </row>
    <row r="37">
      <c r="A37" s="120" t="n">
        <v>19</v>
      </c>
      <c r="B37" s="1" t="inlineStr">
        <is>
          <t>REPAIR INVOICE</t>
        </is>
      </c>
      <c r="F37" s="3" t="inlineStr">
        <is>
          <t>:</t>
        </is>
      </c>
      <c r="G37" s="1" t="inlineStr">
        <is>
          <t>Attached</t>
        </is>
      </c>
      <c r="M37" s="4" t="n"/>
    </row>
    <row r="38">
      <c r="A38" s="120" t="n">
        <v>20</v>
      </c>
      <c r="B38" s="1" t="inlineStr">
        <is>
          <t xml:space="preserve">DEPRECIATION RECIEPT </t>
        </is>
      </c>
      <c r="F38" s="3" t="inlineStr">
        <is>
          <t>:</t>
        </is>
      </c>
      <c r="G38" s="3" t="n"/>
      <c r="M38" s="4" t="n"/>
    </row>
    <row r="39">
      <c r="A39" s="120" t="n">
        <v>21</v>
      </c>
      <c r="B39" s="1" t="inlineStr">
        <is>
          <t>INVOICE NO PART</t>
        </is>
      </c>
      <c r="F39" s="3" t="inlineStr">
        <is>
          <t>:</t>
        </is>
      </c>
      <c r="G39" s="1" t="n"/>
      <c r="M39" s="4" t="n"/>
    </row>
    <row r="40">
      <c r="A40" s="120" t="n">
        <v>22</v>
      </c>
      <c r="B40" s="1" t="inlineStr">
        <is>
          <t>INVOICE NO PART</t>
        </is>
      </c>
      <c r="F40" s="3" t="inlineStr">
        <is>
          <t>:</t>
        </is>
      </c>
      <c r="G40" s="1" t="n"/>
      <c r="M40" s="4" t="n"/>
    </row>
    <row r="41">
      <c r="A41" s="120" t="n">
        <v>23</v>
      </c>
      <c r="B41" s="1" t="inlineStr">
        <is>
          <t>ANY OTHER DOCUMENT</t>
        </is>
      </c>
      <c r="F41" s="3" t="inlineStr">
        <is>
          <t>:</t>
        </is>
      </c>
      <c r="G41" s="1" t="n"/>
      <c r="M41" s="4" t="n"/>
    </row>
    <row r="42">
      <c r="A42" s="120" t="n">
        <v>24</v>
      </c>
      <c r="B42" s="1" t="inlineStr">
        <is>
          <t>NO. OF CLAIM</t>
        </is>
      </c>
      <c r="F42" s="3" t="inlineStr">
        <is>
          <t>:</t>
        </is>
      </c>
      <c r="G42" s="13" t="n"/>
      <c r="M42" s="4" t="n"/>
    </row>
    <row r="43">
      <c r="A43" s="2" t="n"/>
      <c r="M43" s="4" t="n"/>
    </row>
    <row r="44">
      <c r="A44" s="2" t="n"/>
      <c r="B44" s="163" t="inlineStr">
        <is>
          <t>DETAIL OF ASSESSMENT</t>
        </is>
      </c>
      <c r="M44" s="4" t="n"/>
    </row>
    <row r="45">
      <c r="A45" s="2" t="n"/>
      <c r="M45" s="4" t="n"/>
    </row>
    <row r="46">
      <c r="A46" s="2" t="n"/>
      <c r="B46" s="67" t="inlineStr">
        <is>
          <t>PARTS ALLOWED</t>
        </is>
      </c>
      <c r="C46" s="62" t="n"/>
      <c r="D46" s="62" t="n"/>
      <c r="E46" s="62" t="n"/>
      <c r="F46" s="83" t="inlineStr">
        <is>
          <t>:</t>
        </is>
      </c>
      <c r="G46" s="68">
        <f>Sheet1!G174</f>
        <v/>
      </c>
      <c r="M46" s="4" t="n"/>
    </row>
    <row r="47">
      <c r="A47" s="2" t="n"/>
      <c r="B47" s="2" t="inlineStr">
        <is>
          <t>TOWING CHARGES</t>
        </is>
      </c>
      <c r="F47" s="3" t="inlineStr">
        <is>
          <t>:</t>
        </is>
      </c>
      <c r="G47" s="25" t="n">
        <v>0</v>
      </c>
      <c r="M47" s="4" t="n"/>
    </row>
    <row r="48">
      <c r="A48" s="2" t="n"/>
      <c r="B48" s="5" t="inlineStr">
        <is>
          <t>LABOUR ALLOWED</t>
        </is>
      </c>
      <c r="C48" s="6" t="n"/>
      <c r="D48" s="6" t="n"/>
      <c r="E48" s="6" t="n"/>
      <c r="F48" s="47" t="inlineStr">
        <is>
          <t>:</t>
        </is>
      </c>
      <c r="G48" s="31">
        <f>Sheet1!G175</f>
        <v/>
      </c>
      <c r="M48" s="4" t="n"/>
    </row>
    <row r="49">
      <c r="A49" s="2" t="n"/>
      <c r="B49" s="67" t="inlineStr">
        <is>
          <t>SUB TOTAL</t>
        </is>
      </c>
      <c r="C49" s="62" t="n"/>
      <c r="D49" s="62" t="n"/>
      <c r="E49" s="62" t="n"/>
      <c r="F49" s="83" t="inlineStr">
        <is>
          <t>:</t>
        </is>
      </c>
      <c r="G49" s="68">
        <f>SUM(G46:G48)</f>
        <v/>
      </c>
      <c r="M49" s="4" t="n"/>
    </row>
    <row r="50">
      <c r="A50" s="2" t="n"/>
      <c r="B50" s="5" t="inlineStr">
        <is>
          <t>LESS EXCESS CLAUSE</t>
        </is>
      </c>
      <c r="C50" s="6" t="n"/>
      <c r="D50" s="6" t="n"/>
      <c r="E50" s="6" t="n"/>
      <c r="F50" s="47" t="inlineStr">
        <is>
          <t>:</t>
        </is>
      </c>
      <c r="G50" s="31">
        <f>Sheet1!G177</f>
        <v/>
      </c>
      <c r="M50" s="4" t="n"/>
    </row>
    <row r="51">
      <c r="A51" s="2" t="n"/>
      <c r="B51" s="2" t="inlineStr">
        <is>
          <t>SUB TOTAL</t>
        </is>
      </c>
      <c r="F51" s="3" t="inlineStr">
        <is>
          <t>:</t>
        </is>
      </c>
      <c r="G51" s="25">
        <f>G49-G50</f>
        <v/>
      </c>
      <c r="M51" s="4" t="n"/>
    </row>
    <row r="52">
      <c r="A52" s="2" t="n"/>
      <c r="B52" s="5" t="inlineStr">
        <is>
          <t>LESS SALVAGE</t>
        </is>
      </c>
      <c r="C52" s="6" t="n"/>
      <c r="D52" s="6" t="n"/>
      <c r="E52" s="6" t="n"/>
      <c r="F52" s="47" t="inlineStr">
        <is>
          <t>:</t>
        </is>
      </c>
      <c r="G52" s="31">
        <f>Sheet1!G180</f>
        <v/>
      </c>
      <c r="M52" s="4" t="n"/>
    </row>
    <row r="53">
      <c r="A53" s="14" t="n"/>
      <c r="B53" s="160" t="inlineStr">
        <is>
          <t>NET PAYABLE AMOUNT</t>
        </is>
      </c>
      <c r="C53" s="161" t="n"/>
      <c r="D53" s="161" t="n"/>
      <c r="E53" s="161" t="n"/>
      <c r="F53" s="161" t="inlineStr">
        <is>
          <t>:</t>
        </is>
      </c>
      <c r="G53" s="164">
        <f>G51-G52</f>
        <v/>
      </c>
      <c r="M53" s="4" t="n"/>
    </row>
    <row r="54">
      <c r="A54" s="2" t="n"/>
      <c r="F54" s="3" t="n"/>
      <c r="M54" s="4" t="n"/>
    </row>
    <row r="55">
      <c r="A55" s="2" t="n"/>
      <c r="K55" s="3" t="inlineStr">
        <is>
          <t>(SUNIL KUMAR)</t>
        </is>
      </c>
      <c r="M55" s="4" t="n"/>
    </row>
    <row r="56">
      <c r="A56" s="2" t="n"/>
      <c r="M56" s="4" t="n"/>
    </row>
    <row r="57">
      <c r="A57" s="2" t="n"/>
      <c r="M57" s="4" t="n"/>
    </row>
    <row r="58">
      <c r="A58" s="5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7" t="n"/>
    </row>
  </sheetData>
  <printOptions horizontalCentered="1"/>
  <pageMargins left="0" right="0" top="0.5" bottom="0.5" header="0.3" footer="0.3"/>
  <pageSetup paperSize="1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G15"/>
  <sheetViews>
    <sheetView view="normal" workbookViewId="0">
      <selection activeCell="D10" sqref="D10"/>
    </sheetView>
  </sheetViews>
  <sheetFormatPr baseColWidth="8" defaultRowHeight="12.35"/>
  <cols>
    <col width="6.666667" customWidth="1" min="1" max="1"/>
    <col width="22.5" customWidth="1" min="2" max="2"/>
    <col width="23.333333" customWidth="1" min="3" max="3"/>
    <col width="14.666667" customWidth="1" min="4" max="4"/>
    <col width="14.333333" customWidth="1" min="5" max="5"/>
    <col width="13.166667" customWidth="1" min="6" max="6"/>
    <col width="13" customWidth="1" min="7" max="7"/>
  </cols>
  <sheetData>
    <row r="3">
      <c r="B3" s="51" t="inlineStr">
        <is>
          <t>VEHICLE NO.:</t>
        </is>
      </c>
      <c r="C3" s="51">
        <f>Sheet1!G25</f>
        <v/>
      </c>
    </row>
    <row r="6">
      <c r="B6" s="10" t="inlineStr">
        <is>
          <t>SUMMARRY OF GST:</t>
        </is>
      </c>
      <c r="C6" s="1" t="n"/>
      <c r="D6" s="1" t="n"/>
      <c r="E6" s="1" t="n"/>
      <c r="F6" s="1" t="n"/>
      <c r="G6" s="1" t="n"/>
    </row>
    <row r="7">
      <c r="B7" s="1" t="n"/>
      <c r="C7" s="1" t="n"/>
      <c r="D7" s="1" t="n"/>
      <c r="E7" s="1" t="n"/>
      <c r="F7" s="1" t="n"/>
      <c r="G7" s="1" t="n"/>
    </row>
    <row r="8">
      <c r="B8" s="154" t="inlineStr">
        <is>
          <t>GST % ON PARTS</t>
        </is>
      </c>
      <c r="C8" s="75" t="inlineStr">
        <is>
          <t>ACTUAL ALLOWED</t>
        </is>
      </c>
      <c r="D8" s="155" t="inlineStr">
        <is>
          <t>C GST</t>
        </is>
      </c>
      <c r="E8" s="75" t="inlineStr">
        <is>
          <t>SGDT</t>
        </is>
      </c>
      <c r="F8" s="75" t="inlineStr">
        <is>
          <t>I GST</t>
        </is>
      </c>
      <c r="G8" s="93" t="inlineStr">
        <is>
          <t>TOTAL</t>
        </is>
      </c>
    </row>
    <row r="9">
      <c r="B9" s="165" t="n">
        <v>0.18</v>
      </c>
      <c r="C9" s="35">
        <f>Sheet1!G135+Sheet1!H135+Sheet1!I135</f>
        <v/>
      </c>
      <c r="D9" s="80">
        <f>9*C9/100</f>
        <v/>
      </c>
      <c r="E9" s="35">
        <f>D9</f>
        <v/>
      </c>
      <c r="F9" s="35" t="n">
        <v>0</v>
      </c>
      <c r="G9" s="61">
        <f>D9+E9</f>
        <v/>
      </c>
    </row>
    <row r="10">
      <c r="B10" s="24" t="inlineStr">
        <is>
          <t>GRAND TOTAL</t>
        </is>
      </c>
      <c r="C10" s="91">
        <f>SUM(C9)</f>
        <v/>
      </c>
      <c r="D10" s="166">
        <f>SUM(D9)</f>
        <v/>
      </c>
      <c r="E10" s="91">
        <f>SUM(E9)</f>
        <v/>
      </c>
      <c r="F10" s="91" t="n">
        <v>0</v>
      </c>
      <c r="G10" s="90">
        <f>SUM(G9)</f>
        <v/>
      </c>
    </row>
    <row r="11">
      <c r="B11" s="1" t="n"/>
      <c r="C11" s="1" t="n"/>
      <c r="D11" s="1" t="n"/>
      <c r="E11" s="1" t="n"/>
      <c r="F11" s="1" t="n"/>
      <c r="G11" s="1" t="n"/>
    </row>
    <row r="12">
      <c r="B12" s="1" t="n"/>
      <c r="C12" s="1" t="n"/>
      <c r="D12" s="1" t="n"/>
      <c r="E12" s="1" t="n"/>
      <c r="F12" s="1" t="n"/>
      <c r="G12" s="1" t="n"/>
    </row>
    <row r="13">
      <c r="B13" s="154" t="inlineStr">
        <is>
          <t>LABOUR</t>
        </is>
      </c>
      <c r="C13" s="75" t="inlineStr">
        <is>
          <t>ACTUAL ALLOWED</t>
        </is>
      </c>
      <c r="D13" s="155" t="inlineStr">
        <is>
          <t>C GST</t>
        </is>
      </c>
      <c r="E13" s="75" t="inlineStr">
        <is>
          <t>SGDT</t>
        </is>
      </c>
      <c r="F13" s="75" t="inlineStr">
        <is>
          <t>I GST</t>
        </is>
      </c>
      <c r="G13" s="93" t="inlineStr">
        <is>
          <t>TOTAL</t>
        </is>
      </c>
    </row>
    <row r="14">
      <c r="B14" s="165" t="inlineStr">
        <is>
          <t>LABOUR 18%</t>
        </is>
      </c>
      <c r="C14" s="35">
        <f>Sheet1!H164</f>
        <v/>
      </c>
      <c r="D14" s="80">
        <f>9*C14/100</f>
        <v/>
      </c>
      <c r="E14" s="35">
        <f>D14</f>
        <v/>
      </c>
      <c r="F14" s="35" t="n">
        <v>0</v>
      </c>
      <c r="G14" s="61">
        <f>D14+E14</f>
        <v/>
      </c>
    </row>
    <row r="15">
      <c r="B15" s="24" t="inlineStr">
        <is>
          <t>GRAND TOTAL</t>
        </is>
      </c>
      <c r="C15" s="91">
        <f>SUM(C14)</f>
        <v/>
      </c>
      <c r="D15" s="166">
        <f>SUM(D14)</f>
        <v/>
      </c>
      <c r="E15" s="91">
        <f>SUM(E14)</f>
        <v/>
      </c>
      <c r="F15" s="91" t="n">
        <v>0</v>
      </c>
      <c r="G15" s="90">
        <f>SUM(G14)</f>
        <v/>
      </c>
    </row>
  </sheetData>
  <pageMargins left="0.699306" right="0.699306" top="0.75" bottom="0.75" header="0.3" footer="0.3"/>
  <pageSetup paperSize="1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03"/>
  <sheetViews>
    <sheetView view="normal" workbookViewId="0">
      <selection activeCell="D95" sqref="D95:E95"/>
    </sheetView>
  </sheetViews>
  <sheetFormatPr baseColWidth="8" defaultRowHeight="12.35"/>
  <cols>
    <col width="5" customWidth="1" min="1" max="1"/>
    <col width="5.833333" customWidth="1" min="2" max="2"/>
    <col width="9.333333" customWidth="1" min="3" max="5"/>
    <col width="13.333333" customWidth="1" min="6" max="6"/>
    <col width="16.166667" customWidth="1" min="7" max="7"/>
    <col width="9.333333" customWidth="1" min="8" max="8"/>
    <col width="12.333333" customWidth="1" min="9" max="9"/>
    <col width="9.333333" customWidth="1" min="10" max="10"/>
    <col width="11.333333" customWidth="1" min="11" max="11"/>
    <col width="9.333333" customWidth="1" min="12" max="257"/>
  </cols>
  <sheetData>
    <row r="2">
      <c r="B2" s="51" t="inlineStr">
        <is>
          <t>Er. SUNIL KUMAR</t>
        </is>
      </c>
      <c r="C2" s="1" t="n"/>
      <c r="D2" s="1" t="n"/>
      <c r="E2" s="1" t="n"/>
      <c r="F2" s="1" t="n"/>
      <c r="G2" s="1" t="n"/>
      <c r="H2" s="1" t="n"/>
      <c r="I2" s="1" t="inlineStr">
        <is>
          <t># 304, Village: Daria,</t>
        </is>
      </c>
      <c r="J2" s="1" t="n"/>
      <c r="K2" s="1" t="n"/>
    </row>
    <row r="3">
      <c r="B3" s="1" t="inlineStr">
        <is>
          <t>SURVEYOR &amp; LOSS ASSESSOR</t>
        </is>
      </c>
      <c r="C3" s="3" t="n"/>
      <c r="D3" s="1" t="n"/>
      <c r="E3" s="1" t="n"/>
      <c r="F3" s="1" t="n"/>
      <c r="G3" s="1" t="n"/>
      <c r="H3" s="1" t="n"/>
      <c r="I3" s="1" t="inlineStr">
        <is>
          <t>Near Railway Station, Chandigarh</t>
        </is>
      </c>
      <c r="J3" s="1" t="n"/>
      <c r="K3" s="1" t="n"/>
    </row>
    <row r="4">
      <c r="B4" s="1" t="inlineStr">
        <is>
          <t>LICENCE NO: 73070   EXPIRY: 08.02.2028</t>
        </is>
      </c>
      <c r="C4" s="1" t="n"/>
      <c r="D4" s="1" t="n"/>
      <c r="E4" s="1" t="n"/>
      <c r="F4" s="1" t="n"/>
      <c r="G4" s="1" t="n"/>
      <c r="H4" s="3" t="n"/>
      <c r="I4" s="1" t="inlineStr">
        <is>
          <t>Mobile: 098761-35253</t>
        </is>
      </c>
      <c r="J4" s="1" t="n"/>
      <c r="K4" s="1" t="n"/>
    </row>
    <row r="5">
      <c r="B5" s="6" t="inlineStr">
        <is>
          <t>PAN NO:  AQUPK1480C</t>
        </is>
      </c>
      <c r="C5" s="6" t="n"/>
      <c r="D5" s="6" t="n"/>
      <c r="E5" s="6" t="n"/>
      <c r="F5" s="6" t="n"/>
      <c r="G5" s="6" t="n"/>
      <c r="H5" s="6" t="n"/>
      <c r="I5" s="6" t="inlineStr">
        <is>
          <t>e-mail:- ksunilsurveyor@gmail.com</t>
        </is>
      </c>
      <c r="J5" s="6" t="n"/>
      <c r="K5" s="6" t="n"/>
    </row>
    <row r="6" ht="2.25" customHeight="1"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B8" s="3" t="inlineStr">
        <is>
          <t>Ref:</t>
        </is>
      </c>
      <c r="C8" s="1">
        <f>Sheet1!C8</f>
        <v/>
      </c>
      <c r="D8" s="1" t="n"/>
      <c r="E8" s="1" t="n"/>
      <c r="F8" s="1" t="n"/>
      <c r="G8" s="1" t="n"/>
      <c r="H8" s="1" t="n"/>
      <c r="I8" s="1" t="n"/>
      <c r="J8" s="8" t="inlineStr">
        <is>
          <t>Date:</t>
        </is>
      </c>
      <c r="K8" s="242">
        <f>Sheet1!K8</f>
        <v/>
      </c>
    </row>
    <row r="9">
      <c r="B9" s="3" t="n"/>
      <c r="C9" s="1" t="n"/>
      <c r="D9" s="1" t="n"/>
      <c r="E9" s="1" t="n"/>
      <c r="F9" s="1" t="n"/>
      <c r="G9" s="1" t="n"/>
      <c r="H9" s="1" t="n"/>
      <c r="I9" s="1" t="n"/>
      <c r="J9" s="8" t="n"/>
      <c r="K9" s="243" t="n"/>
    </row>
    <row r="10">
      <c r="B10" s="10" t="inlineStr">
        <is>
          <t>PRIVATE &amp; CONFIDENTIAL MOTOR RE-INSPECTION SURVEY REPORT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30" customHeight="1">
      <c r="B11" s="244" t="inlineStr">
        <is>
          <t>The report is issued by me as Licenced surveyor without prejudice in respect of cause, nature &amp; extent of loss/damages and subject to the terms and conditions of Insurance Policy.</t>
        </is>
      </c>
    </row>
    <row r="13">
      <c r="B13" s="169" t="inlineStr">
        <is>
          <t xml:space="preserve">To, </t>
        </is>
      </c>
      <c r="C13" s="170" t="n"/>
      <c r="D13" s="170" t="n"/>
      <c r="E13" s="170" t="n"/>
      <c r="F13" s="170" t="n"/>
      <c r="G13" s="170" t="n"/>
      <c r="H13" s="170" t="n"/>
      <c r="I13" s="170" t="n"/>
      <c r="J13" s="170" t="n"/>
      <c r="K13" s="1" t="n"/>
    </row>
    <row r="14" ht="12.75" customHeight="1">
      <c r="B14" s="1" t="n"/>
      <c r="C14" s="170" t="n"/>
      <c r="D14" s="170" t="n"/>
      <c r="E14" s="170" t="n"/>
      <c r="F14" s="170" t="n"/>
      <c r="G14" s="170" t="n"/>
      <c r="H14" s="170" t="n"/>
      <c r="I14" s="170" t="n"/>
      <c r="J14" s="170" t="n"/>
      <c r="K14" s="1" t="n"/>
    </row>
    <row r="15">
      <c r="B15" s="1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" t="n"/>
    </row>
    <row r="16"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B17" s="1" t="inlineStr">
        <is>
          <t xml:space="preserve">Sub: </t>
        </is>
      </c>
      <c r="C17" s="1" t="inlineStr">
        <is>
          <t xml:space="preserve">Reinspection of </t>
        </is>
      </c>
      <c r="D17" s="3" t="n"/>
      <c r="E17" s="3">
        <f>Sheet1!G25</f>
        <v/>
      </c>
      <c r="F17" s="1" t="n"/>
      <c r="G17" s="1" t="n"/>
      <c r="H17" s="1" t="n"/>
      <c r="I17" s="1" t="n"/>
      <c r="J17" s="1" t="n"/>
      <c r="K17" s="1" t="n"/>
    </row>
    <row r="18">
      <c r="B18" s="1" t="n"/>
      <c r="C18" s="1" t="inlineStr">
        <is>
          <t xml:space="preserve">A/C </t>
        </is>
      </c>
      <c r="D18" s="1">
        <f>Sheet1!G18</f>
        <v/>
      </c>
      <c r="E18" s="3" t="n"/>
      <c r="F18" s="1" t="n"/>
      <c r="G18" s="1" t="n"/>
      <c r="H18" s="1" t="inlineStr">
        <is>
          <t xml:space="preserve">         Date of Accident:</t>
        </is>
      </c>
      <c r="I18" s="1" t="n"/>
      <c r="J18" s="1">
        <f>Sheet1!N57</f>
        <v/>
      </c>
      <c r="K18" s="1" t="n"/>
    </row>
    <row r="19">
      <c r="B19" s="1" t="n"/>
      <c r="C19" s="1" t="inlineStr">
        <is>
          <t>C. No.</t>
        </is>
      </c>
      <c r="D19" s="11">
        <f>Sheet1!G16</f>
        <v/>
      </c>
      <c r="E19" s="1" t="n"/>
      <c r="F19" s="1" t="n"/>
      <c r="G19" s="8" t="inlineStr">
        <is>
          <t>Period:</t>
        </is>
      </c>
      <c r="H19" s="1">
        <f>Sheet1!K16</f>
        <v/>
      </c>
      <c r="I19" s="1" t="n"/>
      <c r="J19" s="1" t="n"/>
      <c r="K19" s="1" t="n"/>
    </row>
    <row r="20"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B21" s="1" t="inlineStr">
        <is>
          <t>Sir,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41.25" customHeight="1">
      <c r="B22" s="244" t="n"/>
      <c r="K22" s="1" t="n"/>
    </row>
    <row r="23"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>
      <c r="B24" s="3" t="inlineStr">
        <is>
          <t xml:space="preserve">Fllowing are the details: 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>
      <c r="B26" s="11" t="n">
        <v>1</v>
      </c>
      <c r="C26" s="1" t="inlineStr">
        <is>
          <t>Whether all parts allowed for replacement by final survey report have been actually been replaced</t>
        </is>
      </c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B27" s="1" t="n"/>
      <c r="C27" s="1" t="inlineStr">
        <is>
          <t>with the new parts. The details are as under: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B29" s="71" t="inlineStr">
        <is>
          <t>S.N.</t>
        </is>
      </c>
      <c r="C29" s="72" t="inlineStr">
        <is>
          <t>Particulars</t>
        </is>
      </c>
      <c r="D29" s="72" t="n"/>
      <c r="E29" s="72" t="n"/>
      <c r="F29" s="171" t="inlineStr">
        <is>
          <t>Remarks</t>
        </is>
      </c>
      <c r="G29" s="172" t="inlineStr">
        <is>
          <t>Salvage</t>
        </is>
      </c>
      <c r="H29" s="1" t="n"/>
      <c r="I29" s="1" t="n"/>
      <c r="J29" s="1" t="n"/>
      <c r="K29" s="1" t="n"/>
    </row>
    <row r="30">
      <c r="B30" s="105" t="n"/>
      <c r="C30" s="1" t="n"/>
      <c r="D30" s="1" t="n"/>
      <c r="E30" s="4" t="n"/>
      <c r="F30" s="26" t="n"/>
      <c r="G30" s="26" t="n"/>
      <c r="H30" s="173" t="n"/>
      <c r="I30" s="1" t="n"/>
      <c r="J30" s="1" t="n"/>
      <c r="K30" s="1" t="n"/>
    </row>
    <row r="31">
      <c r="B31" s="174" t="n"/>
      <c r="C31" s="20" t="n"/>
      <c r="D31" s="20" t="n"/>
      <c r="E31" s="22" t="n"/>
      <c r="F31" s="61" t="n"/>
      <c r="G31" s="61" t="n"/>
      <c r="H31" s="173" t="n"/>
      <c r="I31" s="1" t="n"/>
      <c r="J31" s="1" t="n"/>
      <c r="K31" s="1" t="n"/>
    </row>
    <row r="32">
      <c r="B32" s="76" t="n"/>
      <c r="C32" s="1" t="n"/>
      <c r="D32" s="1" t="n"/>
      <c r="E32" s="4" t="n"/>
      <c r="F32" s="26" t="n"/>
      <c r="G32" s="26" t="n"/>
      <c r="H32" s="173" t="n"/>
      <c r="I32" s="1" t="n"/>
      <c r="J32" s="1" t="n"/>
      <c r="K32" s="1" t="n"/>
    </row>
    <row r="33">
      <c r="B33" s="174" t="n"/>
      <c r="C33" s="20" t="n"/>
      <c r="D33" s="20" t="n"/>
      <c r="E33" s="22" t="n"/>
      <c r="F33" s="61" t="n"/>
      <c r="G33" s="61" t="n"/>
      <c r="H33" s="173" t="n"/>
      <c r="I33" s="1" t="n"/>
      <c r="J33" s="1" t="n"/>
      <c r="K33" s="1" t="n"/>
    </row>
    <row r="34">
      <c r="B34" s="76" t="n"/>
      <c r="C34" s="1" t="n"/>
      <c r="D34" s="1" t="n"/>
      <c r="E34" s="4" t="n"/>
      <c r="F34" s="26" t="n"/>
      <c r="G34" s="26" t="n"/>
      <c r="H34" s="173" t="n"/>
      <c r="I34" s="1" t="n"/>
      <c r="J34" s="1" t="n"/>
      <c r="K34" s="1" t="n"/>
    </row>
    <row r="35">
      <c r="B35" s="174" t="n"/>
      <c r="C35" s="20" t="n"/>
      <c r="D35" s="20" t="n"/>
      <c r="E35" s="22" t="n"/>
      <c r="F35" s="61" t="n"/>
      <c r="G35" s="61" t="n"/>
      <c r="H35" s="173" t="n"/>
      <c r="I35" s="1" t="n"/>
      <c r="J35" s="1" t="n"/>
      <c r="K35" s="1" t="n"/>
    </row>
    <row r="36">
      <c r="B36" s="76" t="n"/>
      <c r="C36" s="1" t="n"/>
      <c r="D36" s="1" t="n"/>
      <c r="E36" s="4" t="n"/>
      <c r="F36" s="26" t="n"/>
      <c r="G36" s="26" t="n"/>
      <c r="H36" s="173" t="n"/>
      <c r="I36" s="1" t="n"/>
      <c r="J36" s="1" t="n"/>
      <c r="K36" s="1" t="n"/>
    </row>
    <row r="37">
      <c r="B37" s="174" t="n"/>
      <c r="C37" s="20" t="n"/>
      <c r="D37" s="20" t="n"/>
      <c r="E37" s="22" t="n"/>
      <c r="F37" s="61" t="n"/>
      <c r="G37" s="61" t="n"/>
      <c r="H37" s="173" t="n"/>
      <c r="I37" s="1" t="n"/>
      <c r="J37" s="1" t="n"/>
      <c r="K37" s="1" t="n"/>
    </row>
    <row r="38">
      <c r="B38" s="76" t="n"/>
      <c r="C38" s="1" t="n"/>
      <c r="D38" s="1" t="n"/>
      <c r="E38" s="4" t="n"/>
      <c r="F38" s="26" t="n"/>
      <c r="G38" s="26" t="n"/>
      <c r="H38" s="173" t="n"/>
      <c r="I38" s="1" t="n"/>
      <c r="J38" s="1" t="n"/>
      <c r="K38" s="1" t="n"/>
    </row>
    <row r="39">
      <c r="B39" s="174" t="n"/>
      <c r="C39" s="20" t="n"/>
      <c r="D39" s="20" t="n"/>
      <c r="E39" s="22" t="n"/>
      <c r="F39" s="61" t="n"/>
      <c r="G39" s="61" t="n"/>
      <c r="H39" s="173" t="n"/>
      <c r="I39" s="1" t="n"/>
      <c r="J39" s="1" t="n"/>
      <c r="K39" s="1" t="n"/>
    </row>
    <row r="40">
      <c r="B40" s="76" t="n"/>
      <c r="C40" s="1" t="n"/>
      <c r="D40" s="1" t="n"/>
      <c r="E40" s="4" t="n"/>
      <c r="F40" s="26" t="n"/>
      <c r="G40" s="26" t="n"/>
      <c r="H40" s="173" t="n"/>
      <c r="I40" s="1" t="n"/>
      <c r="J40" s="1" t="n"/>
      <c r="K40" s="1" t="n"/>
    </row>
    <row r="41">
      <c r="B41" s="174" t="n"/>
      <c r="C41" s="20" t="n"/>
      <c r="D41" s="20" t="n"/>
      <c r="E41" s="22" t="n"/>
      <c r="F41" s="61" t="n"/>
      <c r="G41" s="61" t="n"/>
      <c r="H41" s="173" t="n"/>
      <c r="I41" s="1" t="n"/>
      <c r="J41" s="1" t="n"/>
      <c r="K41" s="1" t="n"/>
    </row>
    <row r="42">
      <c r="B42" s="76" t="n"/>
      <c r="C42" s="1" t="n"/>
      <c r="D42" s="1" t="n"/>
      <c r="E42" s="4" t="n"/>
      <c r="F42" s="26" t="n"/>
      <c r="G42" s="26" t="n"/>
      <c r="H42" s="173" t="n"/>
      <c r="I42" s="1" t="n"/>
      <c r="J42" s="1" t="n"/>
      <c r="K42" s="1" t="n"/>
    </row>
    <row r="43">
      <c r="B43" s="174" t="n"/>
      <c r="C43" s="20" t="n"/>
      <c r="D43" s="20" t="n"/>
      <c r="E43" s="22" t="n"/>
      <c r="F43" s="61" t="n"/>
      <c r="G43" s="61" t="n"/>
      <c r="H43" s="173" t="n"/>
      <c r="I43" s="1" t="n"/>
      <c r="J43" s="1" t="n"/>
      <c r="K43" s="1" t="n"/>
    </row>
    <row r="44">
      <c r="B44" s="76" t="n"/>
      <c r="C44" s="1" t="n"/>
      <c r="D44" s="1" t="n"/>
      <c r="E44" s="4" t="n"/>
      <c r="F44" s="26" t="n"/>
      <c r="G44" s="26" t="n"/>
      <c r="H44" s="173" t="n"/>
      <c r="I44" s="1" t="n"/>
      <c r="J44" s="1" t="n"/>
      <c r="K44" s="1" t="n"/>
    </row>
    <row r="45">
      <c r="B45" s="174" t="n"/>
      <c r="C45" s="20" t="n"/>
      <c r="D45" s="20" t="n"/>
      <c r="E45" s="22" t="n"/>
      <c r="F45" s="61" t="n"/>
      <c r="G45" s="61" t="n"/>
      <c r="H45" s="173" t="n"/>
      <c r="I45" s="1" t="n"/>
      <c r="J45" s="1" t="n"/>
      <c r="K45" s="1" t="n"/>
    </row>
    <row r="46">
      <c r="B46" s="76" t="n"/>
      <c r="C46" s="1" t="n"/>
      <c r="D46" s="1" t="n"/>
      <c r="E46" s="4" t="n"/>
      <c r="F46" s="26" t="n"/>
      <c r="G46" s="26" t="n"/>
      <c r="H46" s="173" t="n"/>
      <c r="I46" s="1" t="n"/>
      <c r="J46" s="1" t="n"/>
      <c r="K46" s="1" t="n"/>
    </row>
    <row r="47">
      <c r="B47" s="174" t="n"/>
      <c r="C47" s="20" t="n"/>
      <c r="D47" s="20" t="n"/>
      <c r="E47" s="22" t="n"/>
      <c r="F47" s="61" t="n"/>
      <c r="G47" s="61" t="n"/>
      <c r="H47" s="173" t="n"/>
      <c r="I47" s="1" t="n"/>
      <c r="J47" s="1" t="n"/>
      <c r="K47" s="1" t="n"/>
    </row>
    <row r="48">
      <c r="B48" s="76" t="n"/>
      <c r="C48" s="20" t="n"/>
      <c r="D48" s="20" t="n"/>
      <c r="E48" s="22" t="n"/>
      <c r="F48" s="61" t="n"/>
      <c r="G48" s="61" t="n"/>
      <c r="H48" s="173" t="n"/>
      <c r="I48" s="1" t="n"/>
      <c r="J48" s="1" t="n"/>
      <c r="K48" s="1" t="n"/>
    </row>
    <row r="49">
      <c r="B49" s="174" t="n"/>
      <c r="C49" s="20" t="n"/>
      <c r="D49" s="20" t="n"/>
      <c r="E49" s="22" t="n"/>
      <c r="F49" s="61" t="n"/>
      <c r="G49" s="61" t="n"/>
      <c r="H49" s="173" t="n"/>
      <c r="I49" s="1" t="n"/>
      <c r="J49" s="1" t="n"/>
      <c r="K49" s="1" t="n"/>
    </row>
    <row r="50">
      <c r="B50" s="76" t="n"/>
      <c r="C50" s="1" t="n"/>
      <c r="D50" s="1" t="n"/>
      <c r="E50" s="4" t="n"/>
      <c r="F50" s="26" t="n"/>
      <c r="G50" s="26" t="n"/>
      <c r="H50" s="173" t="n"/>
      <c r="I50" s="1" t="n"/>
      <c r="J50" s="1" t="n"/>
      <c r="K50" s="1" t="n"/>
    </row>
    <row r="51">
      <c r="B51" s="174" t="n"/>
      <c r="C51" s="20" t="n"/>
      <c r="D51" s="20" t="n"/>
      <c r="E51" s="22" t="n"/>
      <c r="F51" s="61" t="n"/>
      <c r="G51" s="61" t="n"/>
      <c r="H51" s="173" t="n"/>
      <c r="I51" s="1" t="n"/>
      <c r="J51" s="1" t="n"/>
      <c r="K51" s="1" t="n"/>
    </row>
    <row r="52">
      <c r="B52" s="76" t="n"/>
      <c r="C52" s="1" t="n"/>
      <c r="D52" s="1" t="n"/>
      <c r="E52" s="4" t="n"/>
      <c r="F52" s="26" t="n"/>
      <c r="G52" s="26" t="n"/>
      <c r="H52" s="173" t="n"/>
      <c r="I52" s="1" t="n"/>
      <c r="J52" s="1" t="n"/>
      <c r="K52" s="1" t="n"/>
    </row>
    <row r="53">
      <c r="B53" s="174" t="n"/>
      <c r="C53" s="20" t="n"/>
      <c r="D53" s="20" t="n"/>
      <c r="E53" s="22" t="n"/>
      <c r="F53" s="61" t="n"/>
      <c r="G53" s="61" t="n"/>
      <c r="H53" s="173" t="n"/>
      <c r="I53" s="1" t="n"/>
      <c r="J53" s="1" t="n"/>
      <c r="K53" s="1" t="n"/>
    </row>
    <row r="54">
      <c r="B54" s="76" t="n"/>
      <c r="C54" s="1" t="n"/>
      <c r="D54" s="1" t="n"/>
      <c r="E54" s="4" t="n"/>
      <c r="F54" s="26" t="n"/>
      <c r="G54" s="26" t="n"/>
      <c r="H54" s="173" t="n"/>
      <c r="I54" s="1" t="n"/>
      <c r="J54" s="1" t="n"/>
      <c r="K54" s="1" t="n"/>
    </row>
    <row r="55">
      <c r="B55" s="174" t="n"/>
      <c r="C55" s="20" t="n"/>
      <c r="D55" s="20" t="n"/>
      <c r="E55" s="22" t="n"/>
      <c r="F55" s="61" t="n"/>
      <c r="G55" s="61" t="n"/>
      <c r="H55" s="173" t="n"/>
      <c r="I55" s="1" t="n"/>
      <c r="J55" s="1" t="n"/>
      <c r="K55" s="1" t="n"/>
    </row>
    <row r="56">
      <c r="B56" s="76" t="n"/>
      <c r="C56" s="1" t="n"/>
      <c r="D56" s="1" t="n"/>
      <c r="E56" s="4" t="n"/>
      <c r="F56" s="26" t="n"/>
      <c r="G56" s="26" t="n"/>
      <c r="H56" s="173" t="n"/>
      <c r="I56" s="1" t="n"/>
      <c r="J56" s="1" t="n"/>
      <c r="K56" s="1" t="n"/>
    </row>
    <row r="57">
      <c r="B57" s="174" t="n"/>
      <c r="C57" s="20" t="n"/>
      <c r="D57" s="20" t="n"/>
      <c r="E57" s="22" t="n"/>
      <c r="F57" s="61" t="n"/>
      <c r="G57" s="61" t="n"/>
      <c r="H57" s="173" t="n"/>
      <c r="I57" s="1" t="n"/>
      <c r="J57" s="1" t="n"/>
      <c r="K57" s="1" t="n"/>
    </row>
    <row r="58">
      <c r="B58" s="13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B59" s="11" t="n">
        <v>2</v>
      </c>
      <c r="C59" s="3" t="inlineStr">
        <is>
          <t>Salvage:</t>
        </is>
      </c>
      <c r="D59" s="1" t="n"/>
      <c r="E59" s="1" t="n"/>
      <c r="F59" s="173" t="n"/>
      <c r="G59" s="173" t="n"/>
      <c r="H59" s="32" t="n"/>
      <c r="I59" s="32" t="n"/>
      <c r="J59" s="1" t="n"/>
      <c r="K59" s="1" t="n"/>
    </row>
    <row r="60">
      <c r="B60" s="13" t="n"/>
      <c r="C60" s="1" t="n"/>
      <c r="D60" s="1" t="n"/>
      <c r="E60" s="1" t="n"/>
      <c r="F60" s="32" t="n"/>
      <c r="G60" s="175" t="n"/>
      <c r="H60" s="32" t="n"/>
      <c r="I60" s="32" t="n"/>
      <c r="J60" s="1" t="n"/>
      <c r="K60" s="1" t="n"/>
    </row>
    <row r="61"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" t="n"/>
    </row>
    <row r="62">
      <c r="B62" s="11" t="n">
        <v>3</v>
      </c>
      <c r="C62" s="3" t="inlineStr">
        <is>
          <t>Labour/Repair</t>
        </is>
      </c>
      <c r="D62" s="1" t="n"/>
      <c r="E62" s="1" t="n"/>
      <c r="F62" s="32" t="n"/>
      <c r="G62" s="175" t="n"/>
      <c r="H62" s="32" t="n"/>
      <c r="I62" s="32" t="n"/>
      <c r="J62" s="1" t="n"/>
      <c r="K62" s="1" t="n"/>
    </row>
    <row r="63">
      <c r="B63" s="13" t="n"/>
      <c r="C63" s="1" t="n"/>
      <c r="D63" s="1" t="n"/>
      <c r="E63" s="1" t="n"/>
      <c r="F63" s="32" t="n"/>
      <c r="G63" s="175" t="n"/>
      <c r="H63" s="32" t="n"/>
      <c r="I63" s="32" t="n"/>
      <c r="J63" s="1" t="n"/>
      <c r="K63" s="1" t="n"/>
    </row>
    <row r="64">
      <c r="B64" s="1" t="n"/>
      <c r="C64" s="1" t="n"/>
      <c r="D64" s="1" t="n"/>
      <c r="E64" s="1" t="n"/>
      <c r="F64" s="1" t="n"/>
      <c r="G64" s="1" t="n"/>
      <c r="H64" s="173" t="n"/>
      <c r="I64" s="1" t="n"/>
      <c r="J64" s="1" t="n"/>
      <c r="K64" s="1" t="n"/>
    </row>
    <row r="65"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" t="n"/>
    </row>
    <row r="66"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" t="n"/>
    </row>
    <row r="67"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" t="n"/>
    </row>
    <row r="68"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" t="n"/>
    </row>
    <row r="69"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" t="n"/>
    </row>
    <row r="70"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" t="n"/>
    </row>
    <row r="71"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" t="n"/>
    </row>
    <row r="72"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" t="n"/>
    </row>
    <row r="73"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" t="n"/>
    </row>
    <row r="74"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" t="n"/>
    </row>
    <row r="75">
      <c r="B75" s="176" t="n">
        <v>4</v>
      </c>
      <c r="C75" s="258" t="inlineStr">
        <is>
          <t>Remarks</t>
        </is>
      </c>
      <c r="E75" s="17" t="n"/>
      <c r="F75" s="17" t="n"/>
      <c r="G75" s="17" t="n"/>
      <c r="H75" s="17" t="n"/>
      <c r="I75" s="17" t="n"/>
      <c r="J75" s="17" t="n"/>
      <c r="K75" s="1" t="n"/>
    </row>
    <row r="76" ht="32.25" customHeight="1">
      <c r="B76" s="18" t="n"/>
      <c r="C76" s="244" t="n"/>
      <c r="K76" s="1" t="n"/>
    </row>
    <row r="77"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" t="n"/>
    </row>
    <row r="78">
      <c r="B78" s="244" t="inlineStr">
        <is>
          <t>The re-inspection report is " without prejudice"</t>
        </is>
      </c>
      <c r="H78" s="18" t="n"/>
      <c r="I78" s="18" t="n"/>
      <c r="J78" s="18" t="n"/>
      <c r="K78" s="1" t="n"/>
    </row>
    <row r="79">
      <c r="B79" s="3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B80" s="1" t="inlineStr">
        <is>
          <t>Thanking you</t>
        </is>
      </c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B81" s="3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B82" s="3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B84" s="3" t="inlineStr">
        <is>
          <t>Er. SUNIL KUMAR</t>
        </is>
      </c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B85" s="3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B86" s="3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B87" s="3" t="inlineStr">
        <is>
          <t>Enclosures:</t>
        </is>
      </c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B88" s="1" t="n">
        <v>1</v>
      </c>
      <c r="C88" s="1" t="inlineStr">
        <is>
          <t>Final survey report</t>
        </is>
      </c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B89" s="1" t="n">
        <v>2</v>
      </c>
      <c r="C89" s="1" t="inlineStr">
        <is>
          <t xml:space="preserve">Re-inspection report &amp; photographs </t>
        </is>
      </c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B90" s="1" t="n">
        <v>3</v>
      </c>
      <c r="C90" s="1" t="inlineStr">
        <is>
          <t>Survey fee bill</t>
        </is>
      </c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B91" s="3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B92" s="1" t="inlineStr">
        <is>
          <t>I have physically verified the following Major Assembilies: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B93" s="3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B94" s="1" t="inlineStr">
        <is>
          <t>Chassis No.</t>
        </is>
      </c>
      <c r="C94" s="1" t="n"/>
      <c r="D94" s="259">
        <f>Sheet1!G29</f>
        <v/>
      </c>
      <c r="F94" s="1" t="n"/>
      <c r="G94" s="13" t="n"/>
      <c r="H94" s="1" t="n"/>
      <c r="I94" s="1" t="n"/>
      <c r="J94" s="1" t="n"/>
      <c r="K94" s="1" t="n"/>
    </row>
    <row r="95">
      <c r="B95" s="1" t="inlineStr">
        <is>
          <t>Engine No.</t>
        </is>
      </c>
      <c r="C95" s="1" t="n"/>
      <c r="D95" s="259">
        <f>Sheet1!G30</f>
        <v/>
      </c>
      <c r="F95" s="1" t="n"/>
      <c r="G95" s="1" t="n"/>
      <c r="H95" s="1" t="n"/>
      <c r="I95" s="1" t="n"/>
      <c r="J95" s="1" t="n"/>
      <c r="K95" s="1" t="n"/>
    </row>
    <row r="96"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</sheetData>
  <mergeCells count="7">
    <mergeCell ref="D95:E95"/>
    <mergeCell ref="B22:J22"/>
    <mergeCell ref="B78:G78"/>
    <mergeCell ref="C75:D75"/>
    <mergeCell ref="C76:J76"/>
    <mergeCell ref="D94:E94"/>
    <mergeCell ref="B11:K11"/>
  </mergeCells>
  <pageMargins left="0.699306" right="0.699306" top="0.75" bottom="0.75" header="0.3" footer="0.3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jaswinder</dc:creator>
  <dcterms:created xsi:type="dcterms:W3CDTF">2026-03-26T07:24:38Z</dcterms:created>
  <dcterms:modified xsi:type="dcterms:W3CDTF">2026-03-26T19:01:09Z</dcterms:modified>
  <cp:lastModifiedBy>Souradeep Das</cp:lastModifiedBy>
  <cp:revision>0</cp:revision>
</cp:coreProperties>
</file>
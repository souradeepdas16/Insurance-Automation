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60" windowWidth="8300" windowHeight="6540" tabRatio="600" firstSheet="0" activeTab="0" autoFilterDateGrouping="1"/>
  </bookViews>
  <sheets>
    <sheet name="Sheet1" sheetId="1" state="visible" r:id="rId1"/>
    <sheet name="Sheet2" sheetId="2" state="visible" r:id="rId2"/>
    <sheet name="Sheet5" sheetId="3" state="visible" r:id="rId3"/>
    <sheet name="Sheet3" sheetId="4" state="visible" r:id="rId4"/>
    <sheet name="Sheet4" sheetId="5" state="visible" r:id="rId5"/>
    <sheet name="Sheet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/D/YYYY;@"/>
    <numFmt numFmtId="165" formatCode="[$-409]MMMMM\-YY;@"/>
    <numFmt numFmtId="166" formatCode="MMM-YY"/>
    <numFmt numFmtId="167" formatCode="M/D/YYYY h:mm"/>
    <numFmt numFmtId="168" formatCode="_(&quot;$&quot;* #,##0.00_);_(&quot;$&quot;* \(#,##0.00\);_(&quot;$&quot;* &quot;-&quot;??_);_(@_)"/>
  </numFmts>
  <fonts count="36">
    <font>
      <name val="Times New Roman"/>
      <family val="1"/>
      <color rgb="FF000000"/>
      <sz val="9"/>
    </font>
    <font>
      <name val="Arial"/>
      <family val="2"/>
      <color rgb="FF000000"/>
      <sz val="10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11"/>
    </font>
    <font>
      <name val="Times New Roman"/>
      <family val="1"/>
      <b val="1"/>
      <color rgb="FF000000"/>
      <sz val="10"/>
      <u val="single"/>
    </font>
    <font>
      <name val="Times New Roman"/>
      <family val="1"/>
      <color rgb="FF0000FF"/>
      <sz val="9"/>
      <u val="single"/>
    </font>
    <font>
      <name val="Times New Roman"/>
      <family val="1"/>
      <color rgb="FF7F007F"/>
      <sz val="9"/>
      <u val="single"/>
    </font>
    <font>
      <name val="Times New Roman"/>
      <family val="1"/>
      <color rgb="FF000000"/>
      <sz val="10"/>
      <u val="single"/>
    </font>
    <font>
      <name val="Times New Roman"/>
      <family val="1"/>
      <b val="1"/>
      <color rgb="FF000000"/>
      <sz val="12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4"/>
      <u val="single"/>
    </font>
    <font>
      <name val="Times New Roman"/>
      <family val="1"/>
      <b val="1"/>
      <color rgb="FF000000"/>
      <sz val="11"/>
      <u val="single"/>
    </font>
    <font>
      <name val="Times New Roman"/>
      <family val="1"/>
      <b val="1"/>
      <color rgb="FFFFFFFF"/>
      <sz val="11"/>
    </font>
    <font>
      <name val="Times New Roman"/>
      <family val="1"/>
      <color rgb="FFFFFFFF"/>
      <sz val="10"/>
    </font>
    <font>
      <name val="Times New Roman"/>
      <family val="1"/>
      <b val="1"/>
      <color rgb="FF000000"/>
      <sz val="12"/>
      <u val="single"/>
    </font>
    <font>
      <name val="Calibri"/>
      <family val="2"/>
      <color rgb="FF000000"/>
      <sz val="11"/>
    </font>
    <font>
      <name val="Calibri"/>
      <family val="2"/>
      <color rgb="FFFFFFFF"/>
      <sz val="11"/>
    </font>
    <font>
      <name val="Calibri"/>
      <family val="2"/>
      <color rgb="FF7F007F"/>
      <sz val="11"/>
    </font>
    <font>
      <name val="Calibri"/>
      <family val="2"/>
      <b val="1"/>
      <color rgb="FFFF9900"/>
      <sz val="11"/>
    </font>
    <font>
      <name val="Calibri"/>
      <family val="2"/>
      <b val="1"/>
      <color rgb="FFFFFFFF"/>
      <sz val="11"/>
    </font>
    <font>
      <name val="Calibri"/>
      <family val="2"/>
      <i val="1"/>
      <color rgb="FF7F7F7F"/>
      <sz val="11"/>
    </font>
    <font>
      <name val="Calibri"/>
      <family val="2"/>
      <color rgb="FF007F00"/>
      <sz val="11"/>
    </font>
    <font>
      <name val="Calibri"/>
      <family val="2"/>
      <b val="1"/>
      <color rgb="FF003366"/>
      <sz val="15"/>
    </font>
    <font>
      <name val="Calibri"/>
      <family val="2"/>
      <b val="1"/>
      <color rgb="FF003366"/>
      <sz val="13"/>
    </font>
    <font>
      <name val="Calibri"/>
      <family val="2"/>
      <b val="1"/>
      <color rgb="FF003366"/>
      <sz val="11"/>
    </font>
    <font>
      <name val="Calibri"/>
      <family val="2"/>
      <color rgb="FF333399"/>
      <sz val="11"/>
    </font>
    <font>
      <name val="Calibri"/>
      <family val="2"/>
      <color rgb="FFFF9900"/>
      <sz val="11"/>
    </font>
    <font>
      <name val="Calibri"/>
      <family val="2"/>
      <color rgb="FF993300"/>
      <sz val="11"/>
    </font>
    <font>
      <name val="Calibri"/>
      <family val="2"/>
      <b val="1"/>
      <color rgb="FF333333"/>
      <sz val="11"/>
    </font>
    <font>
      <name val="Cambria"/>
      <family val="1"/>
      <b val="1"/>
      <color rgb="FF003366"/>
      <sz val="18"/>
    </font>
    <font>
      <name val="Calibri"/>
      <family val="2"/>
      <b val="1"/>
      <color rgb="FF000000"/>
      <sz val="11"/>
    </font>
    <font>
      <name val="Calibri"/>
      <family val="2"/>
      <color rgb="FFFF0000"/>
      <sz val="11"/>
    </font>
    <font>
      <name val="Times New Roman"/>
      <family val="1"/>
      <b val="1"/>
      <color rgb="FF000000"/>
      <sz val="10"/>
    </font>
    <font>
      <name val="Times New Roman"/>
      <family val="1"/>
      <color rgb="FF000000"/>
      <sz val="10"/>
    </font>
    <font>
      <name val="Times New Roman"/>
      <family val="1"/>
      <color rgb="FF000000"/>
      <sz val="8"/>
    </font>
  </fonts>
  <fills count="69">
    <fill>
      <patternFill/>
    </fill>
    <fill>
      <patternFill patternType="gray125"/>
    </fill>
    <fill>
      <patternFill patternType="solid">
        <fgColor rgb="FFCCCCFF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FF808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CC00"/>
        <bgColor rgb="FFFFFFFF"/>
      </patternFill>
    </fill>
    <fill>
      <patternFill patternType="solid">
        <fgColor rgb="FF0066CC"/>
        <bgColor rgb="FFFFFFFF"/>
      </patternFill>
    </fill>
    <fill>
      <patternFill patternType="solid">
        <fgColor rgb="FF7F007F"/>
        <bgColor rgb="FFFFFFFF"/>
      </patternFill>
    </fill>
    <fill>
      <patternFill patternType="solid">
        <fgColor rgb="FF33CCCC"/>
        <bgColor rgb="FFFFFFFF"/>
      </patternFill>
    </fill>
    <fill>
      <patternFill patternType="solid">
        <fgColor rgb="FFFF9900"/>
        <bgColor rgb="FFFFFFFF"/>
      </patternFill>
    </fill>
    <fill>
      <patternFill patternType="solid">
        <fgColor rgb="FF33339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339966"/>
        <bgColor rgb="FFFFFFFF"/>
      </patternFill>
    </fill>
    <fill>
      <patternFill patternType="solid">
        <fgColor rgb="FFFF66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999999"/>
        <bgColor rgb="FFFFFFFF"/>
      </patternFill>
    </fill>
    <fill>
      <patternFill/>
    </fill>
    <fill>
      <patternFill/>
    </fill>
    <fill>
      <patternFill/>
    </fill>
    <fill>
      <patternFill patternType="solid">
        <fgColor rgb="FFFFCC99"/>
        <bgColor rgb="FFFFFFFF"/>
      </patternFill>
    </fill>
    <fill>
      <patternFill/>
    </fill>
    <fill>
      <patternFill patternType="solid">
        <fgColor rgb="FFFFFF99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FFFFFF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7F7F7F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rgb="FF999999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</fills>
  <borders count="68"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</border>
    <border>
      <left>
        <color rgb="FF000000"/>
      </left>
      <right>
        <color rgb="FF000000"/>
      </right>
      <top>
        <color rgb="FF000000"/>
      </top>
      <bottom style="thick">
        <color rgb="FF333399"/>
      </bottom>
    </border>
    <border>
      <left>
        <color rgb="FF000000"/>
      </left>
      <right>
        <color rgb="FF000000"/>
      </right>
      <top>
        <color rgb="FF000000"/>
      </top>
      <bottom style="thick">
        <color rgb="FFC0C0C0"/>
      </bottom>
    </border>
    <border>
      <left>
        <color rgb="FF000000"/>
      </left>
      <right>
        <color rgb="FF000000"/>
      </right>
      <top>
        <color rgb="FF000000"/>
      </top>
      <bottom style="medium">
        <color rgb="FF0066CC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>
        <color rgb="FF000000"/>
      </left>
      <right>
        <color rgb="FF000000"/>
      </right>
      <top>
        <color rgb="FF000000"/>
      </top>
      <bottom style="double">
        <color rgb="FFFF99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>
        <color rgb="FF000000"/>
      </left>
      <right>
        <color rgb="FF000000"/>
      </right>
      <top style="thin">
        <color rgb="FF333399"/>
      </top>
      <bottom style="double">
        <color rgb="FF333399"/>
      </bottom>
    </border>
    <border>
      <left style="thin"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 style="thin"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>
        <color rgb="FF000000"/>
      </right>
      <top>
        <color rgb="FF000000"/>
      </top>
      <bottom style="thin">
        <color rgb="FF000000"/>
      </bottom>
    </border>
    <border>
      <left>
        <color rgb="FF000000"/>
      </left>
      <right>
        <color rgb="FF000000"/>
      </right>
      <top>
        <color rgb="FF000000"/>
      </top>
      <bottom style="thin">
        <color rgb="FF000000"/>
      </bottom>
    </border>
    <border>
      <left>
        <color rgb="FF000000"/>
      </left>
      <right style="thin">
        <color rgb="FF000000"/>
      </right>
      <top>
        <color rgb="FF000000"/>
      </top>
      <bottom style="thin">
        <color rgb="FF000000"/>
      </bottom>
    </border>
    <border>
      <left style="thin">
        <color rgb="FF000000"/>
      </left>
      <right>
        <color rgb="FF000000"/>
      </right>
      <top style="thin">
        <color rgb="FF000000"/>
      </top>
      <bottom style="thin">
        <color rgb="FF000000"/>
      </bottom>
    </border>
    <border>
      <left>
        <color rgb="FF000000"/>
      </left>
      <right>
        <color rgb="FF000000"/>
      </right>
      <top style="thin">
        <color rgb="FF000000"/>
      </top>
      <bottom style="thin">
        <color rgb="FF000000"/>
      </bottom>
    </border>
    <border>
      <left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</border>
    <border>
      <left>
        <color rgb="FF000000"/>
      </left>
      <right style="thin">
        <color rgb="FF000000"/>
      </right>
      <top style="thin"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>
        <color rgb="FF000000"/>
      </right>
      <top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>
        <color rgb="FF000000"/>
      </left>
      <right>
        <color rgb="FF000000"/>
      </right>
      <top>
        <color rgb="FF000000"/>
      </top>
      <bottom style="medium">
        <color rgb="FF000000"/>
      </bottom>
    </border>
    <border>
      <left>
        <color rgb="FF000000"/>
      </left>
      <right>
        <color rgb="FF000000"/>
      </right>
      <top style="thin">
        <color rgb="FF000000"/>
      </top>
      <bottom>
        <color rgb="FF000000"/>
      </bottom>
    </border>
    <border>
      <left style="thin">
        <color rgb="FF000000"/>
      </left>
      <right>
        <color rgb="FF000000"/>
      </right>
      <top style="thin"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</border>
    <border>
      <left style="medium">
        <color rgb="FF000000"/>
      </left>
      <right>
        <color rgb="FF000000"/>
      </right>
      <top style="medium">
        <color rgb="FF000000"/>
      </top>
      <bottom style="medium">
        <color rgb="FF000000"/>
      </bottom>
    </border>
    <border>
      <left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medium">
        <color rgb="FF000000"/>
      </left>
      <right>
        <color rgb="FF000000"/>
      </right>
      <top style="medium">
        <color rgb="FF000000"/>
      </top>
      <bottom>
        <color rgb="FF000000"/>
      </bottom>
    </border>
    <border>
      <left>
        <color rgb="FF000000"/>
      </left>
      <right>
        <color rgb="FF000000"/>
      </right>
      <top style="medium">
        <color rgb="FF000000"/>
      </top>
      <bottom>
        <color rgb="FF000000"/>
      </bottom>
    </border>
    <border>
      <left>
        <color rgb="FF000000"/>
      </left>
      <right style="medium">
        <color rgb="FF000000"/>
      </right>
      <top style="medium">
        <color rgb="FF000000"/>
      </top>
      <bottom>
        <color rgb="FF000000"/>
      </bottom>
    </border>
    <border>
      <left style="medium"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 style="medium">
        <color rgb="FF000000"/>
      </right>
      <top>
        <color rgb="FF000000"/>
      </top>
      <bottom>
        <color rgb="FF000000"/>
      </bottom>
    </border>
    <border>
      <left style="medium">
        <color rgb="FF000000"/>
      </left>
      <right>
        <color rgb="FF000000"/>
      </right>
      <top>
        <color rgb="FF000000"/>
      </top>
      <bottom style="medium">
        <color rgb="FF000000"/>
      </bottom>
    </border>
    <border>
      <left>
        <color rgb="FF000000"/>
      </left>
      <right>
        <color rgb="FF000000"/>
      </right>
      <top>
        <color rgb="FF000000"/>
      </top>
      <bottom style="medium">
        <color rgb="FF000000"/>
      </bottom>
    </border>
    <border>
      <left>
        <color rgb="FF000000"/>
      </left>
      <right style="medium">
        <color rgb="FF000000"/>
      </right>
      <top>
        <color rgb="FF000000"/>
      </top>
      <bottom style="medium">
        <color rgb="FF000000"/>
      </bottom>
    </border>
    <border>
      <left style="thin">
        <color rgb="FF000000"/>
      </left>
      <right>
        <color rgb="FF000000"/>
      </right>
      <top style="thin">
        <color rgb="FF000000"/>
      </top>
      <bottom style="thin">
        <color rgb="FF000000"/>
      </bottom>
    </border>
    <border>
      <left>
        <color rgb="FF000000"/>
      </left>
      <right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49">
    <xf numFmtId="0" fontId="0" fillId="52" borderId="59"/>
    <xf numFmtId="0" fontId="16" fillId="2" borderId="59"/>
    <xf numFmtId="0" fontId="16" fillId="3" borderId="59"/>
    <xf numFmtId="0" fontId="16" fillId="4" borderId="59"/>
    <xf numFmtId="0" fontId="16" fillId="5" borderId="59"/>
    <xf numFmtId="0" fontId="16" fillId="6" borderId="59"/>
    <xf numFmtId="0" fontId="16" fillId="25" borderId="59"/>
    <xf numFmtId="0" fontId="16" fillId="8" borderId="59"/>
    <xf numFmtId="0" fontId="16" fillId="9" borderId="59"/>
    <xf numFmtId="0" fontId="16" fillId="10" borderId="59"/>
    <xf numFmtId="0" fontId="16" fillId="5" borderId="59"/>
    <xf numFmtId="0" fontId="16" fillId="8" borderId="59"/>
    <xf numFmtId="0" fontId="16" fillId="11" borderId="59"/>
    <xf numFmtId="0" fontId="17" fillId="12" borderId="59"/>
    <xf numFmtId="0" fontId="17" fillId="9" borderId="59"/>
    <xf numFmtId="0" fontId="17" fillId="10" borderId="59"/>
    <xf numFmtId="0" fontId="17" fillId="13" borderId="59"/>
    <xf numFmtId="0" fontId="17" fillId="14" borderId="59"/>
    <xf numFmtId="0" fontId="17" fillId="15" borderId="59"/>
    <xf numFmtId="0" fontId="17" fillId="16" borderId="59"/>
    <xf numFmtId="0" fontId="17" fillId="17" borderId="59"/>
    <xf numFmtId="0" fontId="17" fillId="18" borderId="59"/>
    <xf numFmtId="0" fontId="17" fillId="13" borderId="59"/>
    <xf numFmtId="0" fontId="17" fillId="14" borderId="59"/>
    <xf numFmtId="0" fontId="17" fillId="19" borderId="59"/>
    <xf numFmtId="0" fontId="18" fillId="3" borderId="59"/>
    <xf numFmtId="0" fontId="19" fillId="68" borderId="24"/>
    <xf numFmtId="0" fontId="20" fillId="55" borderId="20"/>
    <xf numFmtId="43" fontId="0" fillId="52" borderId="59"/>
    <xf numFmtId="41" fontId="0" fillId="52" borderId="59"/>
    <xf numFmtId="168" fontId="0" fillId="52" borderId="59"/>
    <xf numFmtId="42" fontId="0" fillId="52" borderId="59"/>
    <xf numFmtId="0" fontId="21" fillId="52" borderId="59"/>
    <xf numFmtId="0" fontId="7" fillId="52" borderId="59" applyAlignment="1" applyProtection="1">
      <alignment vertical="top"/>
      <protection locked="0" hidden="0"/>
    </xf>
    <xf numFmtId="0" fontId="22" fillId="4" borderId="59"/>
    <xf numFmtId="0" fontId="23" fillId="52" borderId="21"/>
    <xf numFmtId="0" fontId="24" fillId="52" borderId="22"/>
    <xf numFmtId="0" fontId="25" fillId="52" borderId="23"/>
    <xf numFmtId="0" fontId="25" fillId="52" borderId="59"/>
    <xf numFmtId="0" fontId="6" fillId="52" borderId="59" applyAlignment="1" applyProtection="1">
      <alignment vertical="top"/>
      <protection locked="0" hidden="0"/>
    </xf>
    <xf numFmtId="0" fontId="26" fillId="25" borderId="24"/>
    <xf numFmtId="0" fontId="27" fillId="52" borderId="25"/>
    <xf numFmtId="0" fontId="28" fillId="27" borderId="59"/>
    <xf numFmtId="0" fontId="0" fillId="28" borderId="27"/>
    <xf numFmtId="0" fontId="29" fillId="68" borderId="28"/>
    <xf numFmtId="9" fontId="0" fillId="52" borderId="59"/>
    <xf numFmtId="0" fontId="30" fillId="52" borderId="59"/>
    <xf numFmtId="0" fontId="31" fillId="52" borderId="29"/>
    <xf numFmtId="0" fontId="32" fillId="52" borderId="59"/>
  </cellStyleXfs>
  <cellXfs count="270">
    <xf numFmtId="0" fontId="0" fillId="0" borderId="0" pivotButton="0" quotePrefix="0" xfId="0"/>
    <xf numFmtId="0" fontId="2" fillId="0" borderId="0" pivotButton="0" quotePrefix="0" xfId="0"/>
    <xf numFmtId="0" fontId="2" fillId="0" borderId="30" pivotButton="0" quotePrefix="0" xfId="0"/>
    <xf numFmtId="0" fontId="3" fillId="0" borderId="0" pivotButton="0" quotePrefix="0" xfId="0"/>
    <xf numFmtId="0" fontId="2" fillId="0" borderId="31" pivotButton="0" quotePrefix="0" xfId="0"/>
    <xf numFmtId="0" fontId="2" fillId="0" borderId="32" pivotButton="0" quotePrefix="0" xfId="0"/>
    <xf numFmtId="0" fontId="2" fillId="0" borderId="33" pivotButton="0" quotePrefix="0" xfId="0"/>
    <xf numFmtId="0" fontId="2" fillId="0" borderId="34" pivotButton="0" quotePrefix="0" xfId="0"/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left"/>
    </xf>
    <xf numFmtId="0" fontId="5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30" pivotButton="0" quotePrefix="0" xfId="0"/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justify" vertical="justify"/>
    </xf>
    <xf numFmtId="0" fontId="2" fillId="0" borderId="0" applyAlignment="1" pivotButton="0" quotePrefix="0" xfId="0">
      <alignment vertical="justify"/>
    </xf>
    <xf numFmtId="0" fontId="2" fillId="0" borderId="35" pivotButton="0" quotePrefix="0" xfId="0"/>
    <xf numFmtId="0" fontId="2" fillId="0" borderId="36" pivotButton="0" quotePrefix="0" xfId="0"/>
    <xf numFmtId="0" fontId="2" fillId="0" borderId="36" applyAlignment="1" pivotButton="0" quotePrefix="0" xfId="0">
      <alignment horizontal="right"/>
    </xf>
    <xf numFmtId="0" fontId="2" fillId="0" borderId="37" pivotButton="0" quotePrefix="0" xfId="0"/>
    <xf numFmtId="43" fontId="2" fillId="0" borderId="0" applyAlignment="1" pivotButton="0" quotePrefix="0" xfId="0">
      <alignment horizontal="right"/>
    </xf>
    <xf numFmtId="0" fontId="3" fillId="0" borderId="32" pivotButton="0" quotePrefix="0" xfId="0"/>
    <xf numFmtId="2" fontId="2" fillId="0" borderId="38" pivotButton="0" quotePrefix="0" xfId="0"/>
    <xf numFmtId="2" fontId="2" fillId="0" borderId="31" pivotButton="0" quotePrefix="0" xfId="0"/>
    <xf numFmtId="2" fontId="2" fillId="0" borderId="34" pivotButton="0" quotePrefix="0" xfId="0"/>
    <xf numFmtId="2" fontId="2" fillId="0" borderId="33" pivotButton="0" quotePrefix="0" xfId="0"/>
    <xf numFmtId="2" fontId="2" fillId="0" borderId="39" pivotButton="0" quotePrefix="0" xfId="0"/>
    <xf numFmtId="2" fontId="2" fillId="0" borderId="32" pivotButton="0" quotePrefix="0" xfId="0"/>
    <xf numFmtId="2" fontId="2" fillId="0" borderId="40" pivotButton="0" quotePrefix="0" xfId="0"/>
    <xf numFmtId="2" fontId="2" fillId="0" borderId="0" pivotButton="0" quotePrefix="0" xfId="0"/>
    <xf numFmtId="2" fontId="2" fillId="0" borderId="30" pivotButton="0" quotePrefix="0" xfId="0"/>
    <xf numFmtId="2" fontId="2" fillId="0" borderId="35" pivotButton="0" quotePrefix="0" xfId="0"/>
    <xf numFmtId="2" fontId="2" fillId="0" borderId="41" pivotButton="0" quotePrefix="0" xfId="0"/>
    <xf numFmtId="0" fontId="2" fillId="0" borderId="42" pivotButton="0" quotePrefix="0" xfId="0"/>
    <xf numFmtId="2" fontId="3" fillId="0" borderId="43" pivotButton="0" quotePrefix="0" xfId="0"/>
    <xf numFmtId="2" fontId="3" fillId="0" borderId="44" pivotButton="0" quotePrefix="0" xfId="0"/>
    <xf numFmtId="0" fontId="2" fillId="0" borderId="45" pivotButton="0" quotePrefix="0" xfId="0"/>
    <xf numFmtId="2" fontId="3" fillId="0" borderId="46" pivotButton="0" quotePrefix="0" xfId="0"/>
    <xf numFmtId="2" fontId="3" fillId="0" borderId="47" pivotButton="0" quotePrefix="0" xfId="0"/>
    <xf numFmtId="0" fontId="3" fillId="0" borderId="35" pivotButton="0" quotePrefix="0" xfId="0"/>
    <xf numFmtId="2" fontId="3" fillId="0" borderId="37" pivotButton="0" quotePrefix="0" xfId="0"/>
    <xf numFmtId="164" fontId="2" fillId="0" borderId="0" applyAlignment="1" pivotButton="0" quotePrefix="0" xfId="0">
      <alignment horizontal="right"/>
    </xf>
    <xf numFmtId="164" fontId="2" fillId="0" borderId="0" pivotButton="0" quotePrefix="0" xfId="0"/>
    <xf numFmtId="165" fontId="2" fillId="0" borderId="0" pivotButton="0" quotePrefix="0" xfId="0"/>
    <xf numFmtId="0" fontId="3" fillId="0" borderId="33" pivotButton="0" quotePrefix="0" xfId="0"/>
    <xf numFmtId="0" fontId="3" fillId="0" borderId="34" applyAlignment="1" pivotButton="0" quotePrefix="0" xfId="0">
      <alignment horizontal="right"/>
    </xf>
    <xf numFmtId="2" fontId="2" fillId="0" borderId="40" pivotButton="0" quotePrefix="0" xfId="45"/>
    <xf numFmtId="0" fontId="2" fillId="0" borderId="48" pivotButton="0" quotePrefix="0" xfId="0"/>
    <xf numFmtId="0" fontId="4" fillId="0" borderId="0" pivotButton="0" quotePrefix="0" xfId="0"/>
    <xf numFmtId="2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48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164" fontId="10" fillId="0" borderId="0" pivotButton="0" quotePrefix="0" xfId="0"/>
    <xf numFmtId="2" fontId="2" fillId="0" borderId="37" pivotButton="0" quotePrefix="0" xfId="0"/>
    <xf numFmtId="0" fontId="2" fillId="0" borderId="49" pivotButton="0" quotePrefix="0" xfId="0"/>
    <xf numFmtId="0" fontId="2" fillId="0" borderId="38" pivotButton="0" quotePrefix="0" xfId="0"/>
    <xf numFmtId="2" fontId="3" fillId="0" borderId="0" pivotButton="0" quotePrefix="0" xfId="0"/>
    <xf numFmtId="166" fontId="2" fillId="0" borderId="0" pivotButton="0" quotePrefix="0" xfId="0"/>
    <xf numFmtId="2" fontId="2" fillId="0" borderId="49" pivotButton="0" quotePrefix="0" xfId="0"/>
    <xf numFmtId="0" fontId="2" fillId="0" borderId="50" pivotButton="0" quotePrefix="0" xfId="0"/>
    <xf numFmtId="2" fontId="2" fillId="0" borderId="51" pivotButton="0" quotePrefix="0" xfId="0"/>
    <xf numFmtId="0" fontId="11" fillId="0" borderId="0" pivotButton="0" quotePrefix="0" xfId="0"/>
    <xf numFmtId="2" fontId="3" fillId="0" borderId="36" applyAlignment="1" pivotButton="0" quotePrefix="0" xfId="0">
      <alignment horizontal="right"/>
    </xf>
    <xf numFmtId="0" fontId="3" fillId="0" borderId="41" pivotButton="0" quotePrefix="0" xfId="0"/>
    <xf numFmtId="0" fontId="3" fillId="0" borderId="36" pivotButton="0" quotePrefix="0" xfId="0"/>
    <xf numFmtId="0" fontId="3" fillId="0" borderId="37" applyAlignment="1" pivotButton="0" quotePrefix="0" xfId="0">
      <alignment horizontal="center"/>
    </xf>
    <xf numFmtId="0" fontId="3" fillId="0" borderId="41" applyAlignment="1" pivotButton="0" quotePrefix="0" xfId="0">
      <alignment horizontal="center"/>
    </xf>
    <xf numFmtId="0" fontId="3" fillId="0" borderId="51" applyAlignment="1" pivotButton="0" quotePrefix="0" xfId="0">
      <alignment horizontal="center"/>
    </xf>
    <xf numFmtId="0" fontId="2" fillId="0" borderId="38" applyAlignment="1" pivotButton="0" quotePrefix="0" xfId="0">
      <alignment horizontal="left"/>
    </xf>
    <xf numFmtId="2" fontId="2" fillId="0" borderId="31" applyAlignment="1" pivotButton="0" quotePrefix="0" xfId="0">
      <alignment horizontal="right"/>
    </xf>
    <xf numFmtId="2" fontId="2" fillId="0" borderId="30" applyAlignment="1" pivotButton="0" quotePrefix="0" xfId="0">
      <alignment horizontal="right"/>
    </xf>
    <xf numFmtId="2" fontId="2" fillId="0" borderId="51" applyAlignment="1" pivotButton="0" quotePrefix="0" xfId="0">
      <alignment horizontal="right"/>
    </xf>
    <xf numFmtId="2" fontId="2" fillId="0" borderId="36" pivotButton="0" quotePrefix="0" xfId="0"/>
    <xf numFmtId="2" fontId="3" fillId="53" borderId="52" pivotButton="0" quotePrefix="0" xfId="0"/>
    <xf numFmtId="2" fontId="2" fillId="54" borderId="53" pivotButton="0" quotePrefix="0" xfId="0"/>
    <xf numFmtId="0" fontId="3" fillId="0" borderId="49" pivotButton="0" quotePrefix="0" xfId="0"/>
    <xf numFmtId="2" fontId="3" fillId="0" borderId="41" applyAlignment="1" pivotButton="0" quotePrefix="0" xfId="0">
      <alignment horizontal="right"/>
    </xf>
    <xf numFmtId="2" fontId="3" fillId="0" borderId="36" pivotButton="0" quotePrefix="0" xfId="0"/>
    <xf numFmtId="0" fontId="3" fillId="0" borderId="50" pivotButton="0" quotePrefix="0" xfId="0"/>
    <xf numFmtId="0" fontId="2" fillId="0" borderId="39" pivotButton="0" quotePrefix="0" xfId="0"/>
    <xf numFmtId="0" fontId="4" fillId="0" borderId="32" pivotButton="0" quotePrefix="0" xfId="0"/>
    <xf numFmtId="0" fontId="3" fillId="0" borderId="34" pivotButton="0" quotePrefix="0" xfId="0"/>
    <xf numFmtId="2" fontId="3" fillId="0" borderId="34" pivotButton="0" quotePrefix="0" xfId="0"/>
    <xf numFmtId="2" fontId="3" fillId="0" borderId="40" pivotButton="0" quotePrefix="0" xfId="0"/>
    <xf numFmtId="2" fontId="2" fillId="0" borderId="40" applyAlignment="1" pivotButton="0" quotePrefix="0" xfId="0">
      <alignment horizontal="right"/>
    </xf>
    <xf numFmtId="0" fontId="3" fillId="0" borderId="39" applyAlignment="1" pivotButton="0" quotePrefix="0" xfId="0">
      <alignment horizontal="center"/>
    </xf>
    <xf numFmtId="0" fontId="2" fillId="0" borderId="39" applyAlignment="1" pivotButton="0" quotePrefix="0" xfId="0">
      <alignment horizontal="left"/>
    </xf>
    <xf numFmtId="0" fontId="0" fillId="0" borderId="48" pivotButton="0" quotePrefix="0" xfId="0"/>
    <xf numFmtId="0" fontId="0" fillId="0" borderId="50" pivotButton="0" quotePrefix="0" xfId="0"/>
    <xf numFmtId="0" fontId="0" fillId="0" borderId="49" pivotButton="0" quotePrefix="0" xfId="0"/>
    <xf numFmtId="0" fontId="0" fillId="0" borderId="3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4" fontId="3" fillId="0" borderId="0" applyAlignment="1" pivotButton="0" quotePrefix="0" xfId="0">
      <alignment horizontal="left"/>
    </xf>
    <xf numFmtId="0" fontId="2" fillId="0" borderId="51" applyAlignment="1" pivotButton="0" quotePrefix="0" xfId="0">
      <alignment horizontal="left"/>
    </xf>
    <xf numFmtId="0" fontId="2" fillId="0" borderId="40" applyAlignment="1" pivotButton="0" quotePrefix="0" xfId="0">
      <alignment horizontal="left"/>
    </xf>
    <xf numFmtId="0" fontId="3" fillId="0" borderId="33" applyAlignment="1" pivotButton="0" quotePrefix="0" xfId="0">
      <alignment horizontal="center"/>
    </xf>
    <xf numFmtId="0" fontId="3" fillId="0" borderId="33" applyAlignment="1" pivotButton="0" quotePrefix="0" xfId="0">
      <alignment horizontal="left"/>
    </xf>
    <xf numFmtId="0" fontId="3" fillId="0" borderId="36" applyAlignment="1" pivotButton="0" quotePrefix="0" xfId="0">
      <alignment horizontal="center"/>
    </xf>
    <xf numFmtId="0" fontId="3" fillId="0" borderId="36" applyAlignment="1" pivotButton="0" quotePrefix="0" xfId="0">
      <alignment horizontal="left"/>
    </xf>
    <xf numFmtId="0" fontId="2" fillId="0" borderId="41" applyAlignment="1" pivotButton="0" quotePrefix="0" xfId="0">
      <alignment horizontal="center"/>
    </xf>
    <xf numFmtId="0" fontId="2" fillId="0" borderId="38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37" pivotButton="0" quotePrefix="0" xfId="0"/>
    <xf numFmtId="1" fontId="2" fillId="0" borderId="37" applyAlignment="1" pivotButton="0" quotePrefix="0" xfId="0">
      <alignment horizontal="right"/>
    </xf>
    <xf numFmtId="1" fontId="2" fillId="0" borderId="33" applyAlignment="1" pivotButton="0" quotePrefix="0" xfId="0">
      <alignment horizontal="right"/>
    </xf>
    <xf numFmtId="1" fontId="2" fillId="0" borderId="30" pivotButton="0" quotePrefix="0" xfId="0"/>
    <xf numFmtId="0" fontId="2" fillId="0" borderId="40" pivotButton="0" quotePrefix="0" xfId="0"/>
    <xf numFmtId="0" fontId="2" fillId="0" borderId="32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3" fillId="0" borderId="35" applyAlignment="1" pivotButton="0" quotePrefix="0" xfId="0">
      <alignment horizontal="center"/>
    </xf>
    <xf numFmtId="0" fontId="2" fillId="0" borderId="51" pivotButton="0" quotePrefix="0" xfId="0"/>
    <xf numFmtId="0" fontId="3" fillId="0" borderId="40" pivotButton="0" quotePrefix="0" xfId="0"/>
    <xf numFmtId="2" fontId="2" fillId="0" borderId="0" applyAlignment="1" pivotButton="0" quotePrefix="0" xfId="0">
      <alignment horizontal="center"/>
    </xf>
    <xf numFmtId="2" fontId="2" fillId="0" borderId="33" applyAlignment="1" pivotButton="0" quotePrefix="0" xfId="0">
      <alignment horizontal="center"/>
    </xf>
    <xf numFmtId="2" fontId="2" fillId="0" borderId="31" applyAlignment="1" pivotButton="0" quotePrefix="0" xfId="0">
      <alignment horizontal="center"/>
    </xf>
    <xf numFmtId="2" fontId="2" fillId="0" borderId="34" applyAlignment="1" pivotButton="0" quotePrefix="0" xfId="0">
      <alignment horizontal="center"/>
    </xf>
    <xf numFmtId="0" fontId="3" fillId="0" borderId="39" pivotButton="0" quotePrefix="0" xfId="0"/>
    <xf numFmtId="0" fontId="3" fillId="0" borderId="37" pivotButton="0" quotePrefix="0" xfId="0"/>
    <xf numFmtId="0" fontId="2" fillId="0" borderId="33" applyAlignment="1" pivotButton="0" quotePrefix="0" xfId="0">
      <alignment horizontal="left"/>
    </xf>
    <xf numFmtId="0" fontId="9" fillId="55" borderId="54" pivotButton="0" quotePrefix="0" xfId="0"/>
    <xf numFmtId="0" fontId="2" fillId="55" borderId="54" pivotButton="0" quotePrefix="0" xfId="0"/>
    <xf numFmtId="0" fontId="0" fillId="55" borderId="54" pivotButton="0" quotePrefix="0" xfId="0"/>
    <xf numFmtId="0" fontId="2" fillId="0" borderId="30" applyAlignment="1" pivotButton="0" quotePrefix="0" xfId="0">
      <alignment horizontal="left" indent="5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3" fillId="0" borderId="30" applyAlignment="1" pivotButton="0" quotePrefix="0" xfId="0">
      <alignment horizontal="left" indent="5"/>
    </xf>
    <xf numFmtId="0" fontId="3" fillId="0" borderId="33" applyAlignment="1" pivotButton="0" quotePrefix="0" xfId="0">
      <alignment horizontal="right"/>
    </xf>
    <xf numFmtId="0" fontId="2" fillId="0" borderId="0" applyAlignment="1" pivotButton="0" quotePrefix="0" xfId="0">
      <alignment horizontal="left" indent="5"/>
    </xf>
    <xf numFmtId="0" fontId="3" fillId="56" borderId="55" pivotButton="0" quotePrefix="0" xfId="0"/>
    <xf numFmtId="0" fontId="2" fillId="57" borderId="56" pivotButton="0" quotePrefix="0" xfId="0"/>
    <xf numFmtId="0" fontId="2" fillId="58" borderId="57" pivotButton="0" quotePrefix="0" xfId="0"/>
    <xf numFmtId="0" fontId="2" fillId="59" borderId="58" pivotButton="0" quotePrefix="0" xfId="0"/>
    <xf numFmtId="0" fontId="2" fillId="60" borderId="59" pivotButton="0" quotePrefix="0" xfId="0"/>
    <xf numFmtId="0" fontId="3" fillId="60" borderId="59" pivotButton="0" quotePrefix="0" xfId="0"/>
    <xf numFmtId="0" fontId="2" fillId="61" borderId="60" pivotButton="0" quotePrefix="0" xfId="0"/>
    <xf numFmtId="0" fontId="3" fillId="59" borderId="58" pivotButton="0" quotePrefix="0" xfId="0"/>
    <xf numFmtId="0" fontId="3" fillId="61" borderId="60" pivotButton="0" quotePrefix="0" xfId="0"/>
    <xf numFmtId="0" fontId="2" fillId="62" borderId="61" pivotButton="0" quotePrefix="0" xfId="0"/>
    <xf numFmtId="0" fontId="2" fillId="63" borderId="62" pivotButton="0" quotePrefix="0" xfId="0"/>
    <xf numFmtId="0" fontId="2" fillId="64" borderId="63" pivotButton="0" quotePrefix="0" xfId="0"/>
    <xf numFmtId="2" fontId="2" fillId="0" borderId="38" applyAlignment="1" pivotButton="0" quotePrefix="0" xfId="0">
      <alignment horizontal="right"/>
    </xf>
    <xf numFmtId="0" fontId="3" fillId="0" borderId="50" applyAlignment="1" pivotButton="0" quotePrefix="0" xfId="0">
      <alignment horizontal="center"/>
    </xf>
    <xf numFmtId="0" fontId="3" fillId="0" borderId="49" applyAlignment="1" pivotButton="0" quotePrefix="0" xfId="0">
      <alignment horizontal="center"/>
    </xf>
    <xf numFmtId="0" fontId="9" fillId="0" borderId="0" applyAlignment="1" pivotButton="0" quotePrefix="0" xfId="0">
      <alignment vertical="top"/>
    </xf>
    <xf numFmtId="0" fontId="9" fillId="65" borderId="64" pivotButton="0" quotePrefix="0" xfId="0"/>
    <xf numFmtId="0" fontId="9" fillId="66" borderId="65" pivotButton="0" quotePrefix="0" xfId="0"/>
    <xf numFmtId="0" fontId="2" fillId="0" borderId="50" applyAlignment="1" pivotButton="0" quotePrefix="0" xfId="0">
      <alignment horizontal="center"/>
    </xf>
    <xf numFmtId="0" fontId="3" fillId="65" borderId="64" pivotButton="0" quotePrefix="0" xfId="0"/>
    <xf numFmtId="0" fontId="3" fillId="66" borderId="65" pivotButton="0" quotePrefix="0" xfId="0"/>
    <xf numFmtId="0" fontId="3" fillId="0" borderId="30" applyAlignment="1" pivotButton="0" quotePrefix="0" xfId="0">
      <alignment horizontal="center"/>
    </xf>
    <xf numFmtId="0" fontId="15" fillId="0" borderId="0" pivotButton="0" quotePrefix="0" xfId="0"/>
    <xf numFmtId="2" fontId="3" fillId="67" borderId="66" pivotButton="0" quotePrefix="0" xfId="0"/>
    <xf numFmtId="9" fontId="2" fillId="0" borderId="35" applyAlignment="1" pivotButton="0" quotePrefix="0" xfId="0">
      <alignment horizontal="center"/>
    </xf>
    <xf numFmtId="2" fontId="3" fillId="0" borderId="33" pivotButton="0" quotePrefix="0" xfId="0"/>
    <xf numFmtId="0" fontId="9" fillId="68" borderId="67" pivotButton="0" quotePrefix="0" xfId="0"/>
    <xf numFmtId="0" fontId="2" fillId="68" borderId="67" pivotButton="0" quotePrefix="0" xfId="0"/>
    <xf numFmtId="0" fontId="2" fillId="0" borderId="0" applyAlignment="1" pivotButton="0" quotePrefix="0" xfId="0">
      <alignment horizontal="left" vertical="justify"/>
    </xf>
    <xf numFmtId="0" fontId="5" fillId="0" borderId="0" applyAlignment="1" pivotButton="0" quotePrefix="0" xfId="0">
      <alignment horizontal="center" vertical="justify"/>
    </xf>
    <xf numFmtId="0" fontId="3" fillId="0" borderId="41" applyAlignment="1" pivotButton="0" quotePrefix="0" xfId="0">
      <alignment horizontal="left"/>
    </xf>
    <xf numFmtId="0" fontId="3" fillId="0" borderId="37" applyAlignment="1" pivotButton="0" quotePrefix="0" xfId="0">
      <alignment horizontal="left"/>
    </xf>
    <xf numFmtId="2" fontId="2" fillId="0" borderId="0" applyAlignment="1" pivotButton="0" quotePrefix="0" xfId="0">
      <alignment horizontal="left"/>
    </xf>
    <xf numFmtId="0" fontId="2" fillId="0" borderId="41" applyAlignment="1" pivotButton="0" quotePrefix="0" xfId="0">
      <alignment horizontal="left"/>
    </xf>
    <xf numFmtId="2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justify" vertical="justify"/>
    </xf>
    <xf numFmtId="0" fontId="3" fillId="0" borderId="37" applyAlignment="1" pivotButton="0" quotePrefix="0" xfId="0">
      <alignment horizontal="right"/>
    </xf>
    <xf numFmtId="0" fontId="3" fillId="0" borderId="50" applyAlignment="1" pivotButton="0" quotePrefix="0" xfId="0">
      <alignment horizontal="justify" vertical="justify"/>
    </xf>
    <xf numFmtId="0" fontId="3" fillId="0" borderId="39" applyAlignment="1" pivotButton="0" quotePrefix="0" xfId="0">
      <alignment horizontal="justify" vertical="justify"/>
    </xf>
    <xf numFmtId="0" fontId="3" fillId="0" borderId="32" applyAlignment="1" pivotButton="0" quotePrefix="0" xfId="0">
      <alignment horizontal="justify" vertical="justify"/>
    </xf>
    <xf numFmtId="0" fontId="3" fillId="0" borderId="34" applyAlignment="1" pivotButton="0" quotePrefix="0" xfId="0">
      <alignment horizontal="justify" vertical="justify"/>
    </xf>
    <xf numFmtId="0" fontId="2" fillId="0" borderId="35" applyAlignment="1" pivotButton="0" quotePrefix="0" xfId="0">
      <alignment horizontal="center"/>
    </xf>
    <xf numFmtId="0" fontId="2" fillId="0" borderId="37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left"/>
    </xf>
    <xf numFmtId="0" fontId="2" fillId="0" borderId="35" applyAlignment="1" pivotButton="0" quotePrefix="0" xfId="0">
      <alignment horizontal="left"/>
    </xf>
    <xf numFmtId="0" fontId="2" fillId="0" borderId="37" applyAlignment="1" pivotButton="0" quotePrefix="0" xfId="0">
      <alignment horizontal="left"/>
    </xf>
    <xf numFmtId="0" fontId="10" fillId="0" borderId="0" applyAlignment="1" pivotButton="0" quotePrefix="0" xfId="0">
      <alignment horizontal="justify" vertical="justify"/>
    </xf>
    <xf numFmtId="0" fontId="3" fillId="0" borderId="0" applyAlignment="1" pivotButton="0" quotePrefix="0" xfId="0">
      <alignment horizontal="left" vertical="justify"/>
    </xf>
    <xf numFmtId="167" fontId="3" fillId="0" borderId="0" applyAlignment="1" pivotButton="0" quotePrefix="0" xfId="0">
      <alignment horizontal="left"/>
    </xf>
    <xf numFmtId="0" fontId="16" fillId="2" borderId="1" pivotButton="0" quotePrefix="0" xfId="1"/>
    <xf numFmtId="0" fontId="16" fillId="3" borderId="2" pivotButton="0" quotePrefix="0" xfId="2"/>
    <xf numFmtId="0" fontId="16" fillId="4" borderId="3" pivotButton="0" quotePrefix="0" xfId="3"/>
    <xf numFmtId="0" fontId="16" fillId="5" borderId="4" pivotButton="0" quotePrefix="0" xfId="4"/>
    <xf numFmtId="0" fontId="16" fillId="6" borderId="5" pivotButton="0" quotePrefix="0" xfId="5"/>
    <xf numFmtId="0" fontId="16" fillId="7" borderId="6" pivotButton="0" quotePrefix="0" xfId="6"/>
    <xf numFmtId="0" fontId="16" fillId="8" borderId="7" pivotButton="0" quotePrefix="0" xfId="7"/>
    <xf numFmtId="0" fontId="16" fillId="9" borderId="8" pivotButton="0" quotePrefix="0" xfId="8"/>
    <xf numFmtId="0" fontId="16" fillId="10" borderId="9" pivotButton="0" quotePrefix="0" xfId="9"/>
    <xf numFmtId="0" fontId="16" fillId="5" borderId="4" pivotButton="0" quotePrefix="0" xfId="10"/>
    <xf numFmtId="0" fontId="16" fillId="8" borderId="7" pivotButton="0" quotePrefix="0" xfId="11"/>
    <xf numFmtId="0" fontId="16" fillId="11" borderId="10" pivotButton="0" quotePrefix="0" xfId="12"/>
    <xf numFmtId="0" fontId="17" fillId="12" borderId="11" pivotButton="0" quotePrefix="0" xfId="13"/>
    <xf numFmtId="0" fontId="17" fillId="9" borderId="8" pivotButton="0" quotePrefix="0" xfId="14"/>
    <xf numFmtId="0" fontId="17" fillId="10" borderId="9" pivotButton="0" quotePrefix="0" xfId="15"/>
    <xf numFmtId="0" fontId="17" fillId="13" borderId="12" pivotButton="0" quotePrefix="0" xfId="16"/>
    <xf numFmtId="0" fontId="17" fillId="14" borderId="13" pivotButton="0" quotePrefix="0" xfId="17"/>
    <xf numFmtId="0" fontId="17" fillId="15" borderId="14" pivotButton="0" quotePrefix="0" xfId="18"/>
    <xf numFmtId="0" fontId="17" fillId="16" borderId="15" pivotButton="0" quotePrefix="0" xfId="19"/>
    <xf numFmtId="0" fontId="17" fillId="17" borderId="16" pivotButton="0" quotePrefix="0" xfId="20"/>
    <xf numFmtId="0" fontId="17" fillId="18" borderId="17" pivotButton="0" quotePrefix="0" xfId="21"/>
    <xf numFmtId="0" fontId="17" fillId="13" borderId="12" pivotButton="0" quotePrefix="0" xfId="22"/>
    <xf numFmtId="0" fontId="17" fillId="14" borderId="13" pivotButton="0" quotePrefix="0" xfId="23"/>
    <xf numFmtId="0" fontId="17" fillId="19" borderId="18" pivotButton="0" quotePrefix="0" xfId="24"/>
    <xf numFmtId="0" fontId="18" fillId="3" borderId="2" pivotButton="0" quotePrefix="0" xfId="25"/>
    <xf numFmtId="0" fontId="19" fillId="20" borderId="19" pivotButton="0" quotePrefix="0" xfId="26"/>
    <xf numFmtId="0" fontId="20" fillId="21" borderId="20" pivotButton="0" quotePrefix="0" xfId="27"/>
    <xf numFmtId="43" fontId="0" fillId="0" borderId="0" pivotButton="0" quotePrefix="0" xfId="28"/>
    <xf numFmtId="41" fontId="0" fillId="0" borderId="0" pivotButton="0" quotePrefix="0" xfId="29"/>
    <xf numFmtId="168" fontId="0" fillId="0" borderId="0" pivotButton="0" quotePrefix="0" xfId="30"/>
    <xf numFmtId="42" fontId="0" fillId="0" borderId="0" pivotButton="0" quotePrefix="0" xfId="31"/>
    <xf numFmtId="0" fontId="21" fillId="0" borderId="0" pivotButton="0" quotePrefix="0" xfId="32"/>
    <xf numFmtId="0" fontId="7" fillId="0" borderId="0" applyAlignment="1" pivotButton="0" quotePrefix="0" xfId="33">
      <alignment vertical="top"/>
    </xf>
    <xf numFmtId="0" fontId="22" fillId="4" borderId="3" pivotButton="0" quotePrefix="0" xfId="34"/>
    <xf numFmtId="0" fontId="23" fillId="0" borderId="21" pivotButton="0" quotePrefix="0" xfId="35"/>
    <xf numFmtId="0" fontId="24" fillId="0" borderId="22" pivotButton="0" quotePrefix="0" xfId="36"/>
    <xf numFmtId="0" fontId="25" fillId="0" borderId="23" pivotButton="0" quotePrefix="0" xfId="37"/>
    <xf numFmtId="0" fontId="25" fillId="0" borderId="0" pivotButton="0" quotePrefix="0" xfId="38"/>
    <xf numFmtId="0" fontId="6" fillId="0" borderId="0" applyAlignment="1" pivotButton="0" quotePrefix="0" xfId="39">
      <alignment vertical="top"/>
    </xf>
    <xf numFmtId="0" fontId="26" fillId="25" borderId="24" pivotButton="0" quotePrefix="0" xfId="40"/>
    <xf numFmtId="0" fontId="27" fillId="0" borderId="25" pivotButton="0" quotePrefix="0" xfId="41"/>
    <xf numFmtId="0" fontId="28" fillId="27" borderId="26" pivotButton="0" quotePrefix="0" xfId="42"/>
    <xf numFmtId="0" fontId="0" fillId="28" borderId="27" pivotButton="0" quotePrefix="0" xfId="43"/>
    <xf numFmtId="0" fontId="29" fillId="29" borderId="28" pivotButton="0" quotePrefix="0" xfId="44"/>
    <xf numFmtId="9" fontId="0" fillId="0" borderId="0" pivotButton="0" quotePrefix="0" xfId="45"/>
    <xf numFmtId="0" fontId="30" fillId="0" borderId="0" pivotButton="0" quotePrefix="0" xfId="46"/>
    <xf numFmtId="0" fontId="31" fillId="0" borderId="29" pivotButton="0" quotePrefix="0" xfId="47"/>
    <xf numFmtId="0" fontId="32" fillId="0" borderId="0" pivotButton="0" quotePrefix="0" xfId="48"/>
    <xf numFmtId="0" fontId="3" fillId="0" borderId="0" applyAlignment="1" pivotButton="0" quotePrefix="1" xfId="0">
      <alignment horizontal="left"/>
    </xf>
    <xf numFmtId="0" fontId="2" fillId="60" borderId="59" pivotButton="0" quotePrefix="1" xfId="0"/>
    <xf numFmtId="0" fontId="2" fillId="63" borderId="62" pivotButton="0" quotePrefix="1" xfId="0"/>
    <xf numFmtId="164" fontId="2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0" fontId="2" fillId="0" borderId="59" applyAlignment="1" pivotButton="0" quotePrefix="0" xfId="0">
      <alignment horizontal="justify" vertical="justify"/>
    </xf>
    <xf numFmtId="167" fontId="3" fillId="0" borderId="0" applyAlignment="1" pivotButton="0" quotePrefix="0" xfId="0">
      <alignment horizontal="left"/>
    </xf>
    <xf numFmtId="166" fontId="2" fillId="0" borderId="0" pivotButton="0" quotePrefix="0" xfId="0"/>
    <xf numFmtId="0" fontId="2" fillId="0" borderId="66" applyAlignment="1" pivotButton="0" quotePrefix="0" xfId="0">
      <alignment horizontal="left"/>
    </xf>
    <xf numFmtId="0" fontId="0" fillId="0" borderId="67" pivotButton="0" quotePrefix="0" xfId="0"/>
    <xf numFmtId="0" fontId="2" fillId="0" borderId="66" applyAlignment="1" pivotButton="0" quotePrefix="0" xfId="0">
      <alignment horizontal="center"/>
    </xf>
    <xf numFmtId="43" fontId="2" fillId="0" borderId="0" applyAlignment="1" pivotButton="0" quotePrefix="0" xfId="0">
      <alignment horizontal="right"/>
    </xf>
    <xf numFmtId="0" fontId="3" fillId="0" borderId="66" applyAlignment="1" pivotButton="0" quotePrefix="0" xfId="0">
      <alignment horizontal="center"/>
    </xf>
    <xf numFmtId="0" fontId="3" fillId="0" borderId="66" applyAlignment="1" pivotButton="0" quotePrefix="0" xfId="0">
      <alignment horizontal="justify" vertical="justify"/>
    </xf>
    <xf numFmtId="164" fontId="2" fillId="0" borderId="0" applyAlignment="1" pivotButton="0" quotePrefix="0" xfId="0">
      <alignment horizontal="right"/>
    </xf>
    <xf numFmtId="164" fontId="2" fillId="0" borderId="0" pivotButton="0" quotePrefix="0" xfId="0"/>
    <xf numFmtId="165" fontId="2" fillId="0" borderId="0" pivotButton="0" quotePrefix="0" xfId="0"/>
    <xf numFmtId="0" fontId="10" fillId="0" borderId="59" applyAlignment="1" pivotButton="0" quotePrefix="0" xfId="0">
      <alignment horizontal="justify" vertical="justify"/>
    </xf>
    <xf numFmtId="164" fontId="10" fillId="0" borderId="0" pivotButton="0" quotePrefix="0" xfId="0"/>
    <xf numFmtId="0" fontId="3" fillId="0" borderId="59" applyAlignment="1" pivotButton="0" quotePrefix="0" xfId="0">
      <alignment horizontal="left" vertical="justify"/>
    </xf>
    <xf numFmtId="0" fontId="2" fillId="0" borderId="59" applyAlignment="1" pivotButton="0" quotePrefix="0" xfId="0">
      <alignment horizontal="left"/>
    </xf>
    <xf numFmtId="0" fontId="2" fillId="0" borderId="59" applyAlignment="1" pivotButton="0" quotePrefix="0" xfId="0">
      <alignment horizontal="justify" vertical="top" wrapText="1"/>
    </xf>
    <xf numFmtId="0" fontId="2" fillId="0" borderId="59" applyAlignment="1" pivotButton="0" quotePrefix="0" xfId="0">
      <alignment horizontal="left" vertical="top" wrapText="1"/>
    </xf>
    <xf numFmtId="0" fontId="34" fillId="0" borderId="51" applyAlignment="1" pivotButton="0" quotePrefix="0" xfId="0">
      <alignment horizontal="left"/>
    </xf>
    <xf numFmtId="0" fontId="34" fillId="0" borderId="38" applyAlignment="1" pivotButton="0" quotePrefix="0" xfId="0">
      <alignment horizontal="left"/>
    </xf>
    <xf numFmtId="0" fontId="0" fillId="52" borderId="59" pivotButton="0" quotePrefix="0" xfId="0"/>
    <xf numFmtId="0" fontId="34" fillId="52" borderId="51" applyAlignment="1" pivotButton="0" quotePrefix="0" xfId="0">
      <alignment horizontal="left"/>
    </xf>
    <xf numFmtId="0" fontId="34" fillId="52" borderId="31" pivotButton="0" quotePrefix="0" xfId="0"/>
    <xf numFmtId="2" fontId="34" fillId="52" borderId="31" pivotButton="0" quotePrefix="0" xfId="0"/>
    <xf numFmtId="0" fontId="34" fillId="52" borderId="59" applyAlignment="1" pivotButton="0" quotePrefix="0" xfId="0">
      <alignment horizontal="left"/>
    </xf>
    <xf numFmtId="0" fontId="34" fillId="0" borderId="40" applyAlignment="1" pivotButton="0" quotePrefix="0" xfId="0">
      <alignment horizontal="left"/>
    </xf>
  </cellXfs>
  <cellStyles count="49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Followed Hyperlink" xfId="33" builtinId="9"/>
    <cellStyle name="Good" xfId="34" builtinId="26"/>
    <cellStyle name="Heading 1" xfId="35" builtinId="16"/>
    <cellStyle name="Heading 2" xfId="36" builtinId="17"/>
    <cellStyle name="Heading 3" xfId="37" builtinId="18"/>
    <cellStyle name="Heading 4" xfId="38" builtinId="19"/>
    <cellStyle name="Hyperlink" xfId="39" builtinId="8"/>
    <cellStyle name="Input" xfId="40" builtinId="20"/>
    <cellStyle name="Linked Cell" xfId="41" builtinId="24"/>
    <cellStyle name="Neutral" xfId="42" builtinId="28"/>
    <cellStyle name="Note" xfId="43" builtinId="10"/>
    <cellStyle name="Output" xfId="44" builtinId="21"/>
    <cellStyle name="Percent" xfId="45" builtinId="5"/>
    <cellStyle name="Title" xfId="46" builtinId="15"/>
    <cellStyle name="Total" xfId="47" builtinId="25"/>
    <cellStyle name="Warning Text" xfId="48" builtinId="11"/>
  </cellStyles>
  <dxfs count="1">
    <dxf>
      <font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457"/>
  <sheetViews>
    <sheetView tabSelected="1" view="normal" topLeftCell="A95" workbookViewId="0">
      <selection activeCell="B110" sqref="B110"/>
    </sheetView>
  </sheetViews>
  <sheetFormatPr baseColWidth="8" defaultRowHeight="13.45"/>
  <cols>
    <col width="5" customWidth="1" style="1" min="1" max="1"/>
    <col width="6" customWidth="1" style="1" min="2" max="2"/>
    <col width="14.833333" customWidth="1" style="1" min="3" max="3"/>
    <col width="9.333333" customWidth="1" style="1" min="4" max="4"/>
    <col width="9.833333" customWidth="1" style="1" min="5" max="5"/>
    <col width="11.833333" customWidth="1" style="1" min="6" max="9"/>
    <col width="9.166667" customWidth="1" style="1" min="10" max="10"/>
    <col width="14.833333" customWidth="1" style="1" min="11" max="11"/>
    <col width="9.5" customWidth="1" style="1" min="12" max="12"/>
    <col width="19.333333" customWidth="1" style="1" min="13" max="13"/>
    <col width="19" customWidth="1" style="1" min="14" max="14"/>
    <col width="11.333333" customWidth="1" style="1" min="15" max="15"/>
    <col width="11.5" customWidth="1" style="1" min="16" max="16"/>
    <col width="11.166667" customWidth="1" style="1" min="17" max="17"/>
    <col width="11.5" customWidth="1" style="1" min="18" max="18"/>
    <col width="11.333333" customWidth="1" style="1" min="19" max="19"/>
    <col width="11.166667" customWidth="1" style="1" min="20" max="20"/>
    <col width="9.333333" customWidth="1" style="1" min="21" max="257"/>
  </cols>
  <sheetData>
    <row r="2">
      <c r="B2" s="51" t="inlineStr">
        <is>
          <t>Er. SUNIL KUMAR</t>
        </is>
      </c>
      <c r="I2" s="1" t="inlineStr">
        <is>
          <t># 304, Village: Daria,</t>
        </is>
      </c>
    </row>
    <row r="3">
      <c r="B3" s="1" t="inlineStr">
        <is>
          <t>SURVEYOR &amp; LOSS ASSESSOR</t>
        </is>
      </c>
      <c r="C3" s="3" t="n"/>
      <c r="I3" s="1" t="inlineStr">
        <is>
          <t>Near Railway Station, Chandigarh</t>
        </is>
      </c>
    </row>
    <row r="4">
      <c r="B4" s="1" t="inlineStr">
        <is>
          <t>LICENCE NO: 73070   EXPIRY: 08.02.2028</t>
        </is>
      </c>
      <c r="H4" s="3" t="n"/>
      <c r="I4" s="1" t="inlineStr">
        <is>
          <t>Mobile: 098761-35253</t>
        </is>
      </c>
    </row>
    <row r="5">
      <c r="B5" s="6" t="inlineStr">
        <is>
          <t>PAN NO:  AQUPK1480C</t>
        </is>
      </c>
      <c r="C5" s="6" t="n"/>
      <c r="D5" s="6" t="n"/>
      <c r="E5" s="6" t="n"/>
      <c r="F5" s="6" t="n"/>
      <c r="G5" s="6" t="n"/>
      <c r="H5" s="6" t="n"/>
      <c r="I5" s="6" t="inlineStr">
        <is>
          <t>e-mail:- ksunilsurveyor@gmail.com</t>
        </is>
      </c>
      <c r="J5" s="6" t="n"/>
      <c r="K5" s="6" t="n"/>
    </row>
    <row r="6" ht="3" customHeight="1">
      <c r="B6" s="50" t="n"/>
      <c r="C6" s="50" t="n"/>
      <c r="D6" s="50" t="n"/>
      <c r="E6" s="50" t="n"/>
      <c r="F6" s="50" t="n"/>
      <c r="G6" s="50" t="n"/>
      <c r="H6" s="50" t="n"/>
      <c r="I6" s="50" t="n"/>
      <c r="J6" s="50" t="n"/>
      <c r="K6" s="50" t="n"/>
    </row>
    <row r="7" ht="4.5" customHeight="1"/>
    <row r="8">
      <c r="B8" s="3" t="inlineStr">
        <is>
          <t>Ref:</t>
        </is>
      </c>
      <c r="C8" s="1" t="n"/>
      <c r="D8" s="13" t="n"/>
      <c r="J8" s="8" t="inlineStr">
        <is>
          <t>Date:</t>
        </is>
      </c>
      <c r="K8" s="242" t="n"/>
    </row>
    <row r="9" ht="4.5" customHeight="1">
      <c r="B9" s="3" t="n"/>
      <c r="J9" s="8" t="n"/>
      <c r="K9" s="243" t="n"/>
    </row>
    <row r="10">
      <c r="B10" s="10" t="inlineStr">
        <is>
          <t>PRIVATE &amp; CONFIDENTIAL SURVEY REPORT</t>
        </is>
      </c>
    </row>
    <row r="11" ht="26.25" customHeight="1">
      <c r="B11" s="244" t="inlineStr">
        <is>
          <t>The report is issued by me as Licenced surveyor without prejudice in respect of cause, nature &amp; extent of loss/damages and subject to the terms and conditions of Insurance Policy.</t>
        </is>
      </c>
    </row>
    <row r="12" ht="12.75" customHeight="1">
      <c r="B12" s="13" t="n">
        <v>1</v>
      </c>
    </row>
    <row r="13">
      <c r="B13" s="245" t="inlineStr">
        <is>
          <t>a</t>
        </is>
      </c>
      <c r="C13" s="3" t="inlineStr">
        <is>
          <t>INSURERS</t>
        </is>
      </c>
      <c r="E13" s="12" t="n"/>
      <c r="F13" s="11" t="inlineStr">
        <is>
          <t>:</t>
        </is>
      </c>
      <c r="G13" s="1" t="n"/>
      <c r="J13" s="8" t="inlineStr">
        <is>
          <t>IDV=</t>
        </is>
      </c>
      <c r="K13" s="104" t="n"/>
    </row>
    <row r="14">
      <c r="A14" s="10" t="n"/>
      <c r="C14" s="1" t="inlineStr">
        <is>
          <t>ADDRESS</t>
        </is>
      </c>
      <c r="E14" s="12" t="n"/>
      <c r="F14" s="11" t="inlineStr">
        <is>
          <t>:</t>
        </is>
      </c>
      <c r="G14" s="1" t="n"/>
      <c r="W14" s="1" t="n"/>
      <c r="X14" s="1" t="n"/>
      <c r="Y14" s="1" t="n"/>
    </row>
    <row r="15">
      <c r="E15" s="12" t="n"/>
      <c r="F15" s="12" t="n"/>
      <c r="G15" s="1" t="n"/>
      <c r="W15" s="1" t="n"/>
    </row>
    <row r="16">
      <c r="B16" s="1" t="inlineStr">
        <is>
          <t>b</t>
        </is>
      </c>
      <c r="C16" s="1" t="inlineStr">
        <is>
          <t xml:space="preserve">COVER NOTE/POLICY NO.     </t>
        </is>
      </c>
      <c r="E16" s="12" t="n"/>
      <c r="F16" s="11" t="inlineStr">
        <is>
          <t>:</t>
        </is>
      </c>
      <c r="G16" s="239" t="n"/>
      <c r="J16" s="8" t="inlineStr">
        <is>
          <t>Period:</t>
        </is>
      </c>
      <c r="K16" s="1" t="n"/>
      <c r="N16" s="11" t="n"/>
    </row>
    <row r="17" ht="12.75" customHeight="1"/>
    <row r="18">
      <c r="B18" s="11" t="inlineStr">
        <is>
          <t>c</t>
        </is>
      </c>
      <c r="C18" s="3" t="inlineStr">
        <is>
          <t>INSURED</t>
        </is>
      </c>
      <c r="E18" s="12" t="n"/>
      <c r="F18" s="11" t="inlineStr">
        <is>
          <t>:</t>
        </is>
      </c>
      <c r="G18" s="1" t="n"/>
    </row>
    <row r="19">
      <c r="A19" s="11" t="n"/>
      <c r="C19" s="1" t="inlineStr">
        <is>
          <t xml:space="preserve">ADDRESS </t>
        </is>
      </c>
      <c r="E19" s="12" t="n"/>
      <c r="F19" s="11" t="inlineStr">
        <is>
          <t>:</t>
        </is>
      </c>
      <c r="G19" s="246" t="n"/>
    </row>
    <row r="20">
      <c r="A20" s="11" t="n"/>
      <c r="C20" s="1" t="inlineStr">
        <is>
          <t>CONTACT NO.</t>
        </is>
      </c>
      <c r="E20" s="12" t="n"/>
      <c r="F20" s="11" t="inlineStr">
        <is>
          <t>:</t>
        </is>
      </c>
      <c r="G20" s="246" t="n"/>
    </row>
    <row r="21" ht="12.75" customHeight="1">
      <c r="A21" s="11" t="n"/>
      <c r="B21" s="3" t="n"/>
    </row>
    <row r="22">
      <c r="B22" s="11" t="inlineStr">
        <is>
          <t>d</t>
        </is>
      </c>
      <c r="C22" s="3" t="inlineStr">
        <is>
          <t>HPA WITH</t>
        </is>
      </c>
      <c r="E22" s="12" t="n"/>
      <c r="F22" s="11" t="inlineStr">
        <is>
          <t>:</t>
        </is>
      </c>
      <c r="G22" s="1" t="n"/>
    </row>
    <row r="23" ht="12.75" customHeight="1">
      <c r="A23" s="11" t="n"/>
      <c r="B23" s="3" t="n"/>
    </row>
    <row r="24">
      <c r="B24" s="11" t="n">
        <v>2</v>
      </c>
      <c r="C24" s="3" t="inlineStr">
        <is>
          <t>VEHICLE PARTICULARS</t>
        </is>
      </c>
      <c r="E24" s="12" t="n"/>
      <c r="F24" s="11" t="inlineStr">
        <is>
          <t>:</t>
        </is>
      </c>
      <c r="G24" s="3" t="inlineStr">
        <is>
          <t>RC Original Checked &amp; Found In Order</t>
        </is>
      </c>
    </row>
    <row r="25">
      <c r="B25" s="1" t="inlineStr">
        <is>
          <t>a</t>
        </is>
      </c>
      <c r="C25" s="1" t="inlineStr">
        <is>
          <t>Registration No.</t>
        </is>
      </c>
      <c r="E25" s="12" t="n"/>
      <c r="F25" s="11" t="inlineStr">
        <is>
          <t>:</t>
        </is>
      </c>
      <c r="G25" s="3" t="n"/>
      <c r="I25" s="3" t="n"/>
    </row>
    <row r="26">
      <c r="B26" s="1" t="inlineStr">
        <is>
          <t>b</t>
        </is>
      </c>
      <c r="C26" s="1" t="inlineStr">
        <is>
          <t>Date of Registration issue</t>
        </is>
      </c>
      <c r="E26" s="12" t="n"/>
      <c r="F26" s="11" t="inlineStr">
        <is>
          <t>:</t>
        </is>
      </c>
      <c r="G26" s="13" t="n"/>
    </row>
    <row r="27">
      <c r="B27" s="1" t="inlineStr">
        <is>
          <t>c</t>
        </is>
      </c>
      <c r="C27" s="1" t="inlineStr">
        <is>
          <t>Date of Registration expiry</t>
        </is>
      </c>
      <c r="E27" s="12" t="n"/>
      <c r="F27" s="11" t="inlineStr">
        <is>
          <t>:</t>
        </is>
      </c>
      <c r="G27" s="13" t="n"/>
    </row>
    <row r="28">
      <c r="C28" s="19" t="n"/>
      <c r="D28" s="20" t="n"/>
      <c r="E28" s="109" t="n"/>
      <c r="F28" s="110" t="n"/>
      <c r="G28" s="247" t="inlineStr">
        <is>
          <t>Physically Checked</t>
        </is>
      </c>
      <c r="H28" s="248" t="n"/>
      <c r="I28" s="249" t="inlineStr">
        <is>
          <t>As Per RC</t>
        </is>
      </c>
      <c r="J28" s="248" t="n"/>
      <c r="K28" s="111" t="inlineStr">
        <is>
          <t>As Per Ins.</t>
        </is>
      </c>
    </row>
    <row r="29">
      <c r="B29" s="1" t="inlineStr">
        <is>
          <t>d</t>
        </is>
      </c>
      <c r="C29" s="2" t="inlineStr">
        <is>
          <t>Chassis No</t>
        </is>
      </c>
      <c r="E29" s="12" t="n"/>
      <c r="F29" s="11" t="inlineStr">
        <is>
          <t>:</t>
        </is>
      </c>
      <c r="G29" s="105" t="n"/>
      <c r="H29" s="98" t="n"/>
      <c r="I29" s="249">
        <f>G29</f>
        <v/>
      </c>
      <c r="J29" s="248" t="n"/>
      <c r="K29" s="111">
        <f>G29</f>
        <v/>
      </c>
    </row>
    <row r="30">
      <c r="B30" s="1" t="inlineStr">
        <is>
          <t>e</t>
        </is>
      </c>
      <c r="C30" s="5" t="inlineStr">
        <is>
          <t>Engine No</t>
        </is>
      </c>
      <c r="D30" s="6" t="n"/>
      <c r="E30" s="107" t="n"/>
      <c r="F30" s="108" t="inlineStr">
        <is>
          <t>:</t>
        </is>
      </c>
      <c r="G30" s="247" t="n"/>
      <c r="H30" s="248" t="n"/>
      <c r="I30" s="113">
        <f>G30</f>
        <v/>
      </c>
      <c r="J30" s="103" t="n"/>
      <c r="K30" s="113">
        <f>G30</f>
        <v/>
      </c>
    </row>
    <row r="31">
      <c r="B31" s="1" t="inlineStr">
        <is>
          <t>f</t>
        </is>
      </c>
      <c r="C31" s="1" t="inlineStr">
        <is>
          <t>Make &amp; Year of Manufacturer</t>
        </is>
      </c>
      <c r="E31" s="3" t="n"/>
      <c r="F31" s="11" t="inlineStr">
        <is>
          <t>:</t>
        </is>
      </c>
      <c r="G31" s="3" t="n"/>
    </row>
    <row r="32">
      <c r="B32" s="1" t="inlineStr">
        <is>
          <t>g</t>
        </is>
      </c>
      <c r="C32" s="1" t="inlineStr">
        <is>
          <t>Type of Body</t>
        </is>
      </c>
      <c r="E32" s="12" t="n"/>
      <c r="F32" s="11" t="inlineStr">
        <is>
          <t>:</t>
        </is>
      </c>
      <c r="G32" s="1" t="n"/>
      <c r="M32" s="13" t="n"/>
    </row>
    <row r="33">
      <c r="B33" s="1" t="inlineStr">
        <is>
          <t>h</t>
        </is>
      </c>
      <c r="C33" s="1" t="inlineStr">
        <is>
          <t>Class of Vehicle</t>
        </is>
      </c>
      <c r="E33" s="12" t="n"/>
      <c r="F33" s="11" t="inlineStr">
        <is>
          <t>:</t>
        </is>
      </c>
      <c r="G33" s="1" t="n"/>
    </row>
    <row r="34">
      <c r="B34" s="1" t="inlineStr">
        <is>
          <t>i</t>
        </is>
      </c>
      <c r="C34" s="1" t="inlineStr">
        <is>
          <t>Pre-Accident Condition</t>
        </is>
      </c>
      <c r="E34" s="12" t="n"/>
      <c r="F34" s="11" t="inlineStr">
        <is>
          <t>:</t>
        </is>
      </c>
      <c r="G34" s="1" t="n"/>
    </row>
    <row r="35">
      <c r="B35" s="1" t="inlineStr">
        <is>
          <t>j</t>
        </is>
      </c>
      <c r="C35" s="1" t="inlineStr">
        <is>
          <t>Registered Laden Weight</t>
        </is>
      </c>
      <c r="E35" s="12" t="n"/>
      <c r="F35" s="11" t="inlineStr">
        <is>
          <t>:</t>
        </is>
      </c>
      <c r="G35" s="1" t="n"/>
    </row>
    <row r="36">
      <c r="B36" s="1" t="inlineStr">
        <is>
          <t>k</t>
        </is>
      </c>
      <c r="C36" s="1" t="inlineStr">
        <is>
          <t>Unladen Weight</t>
        </is>
      </c>
      <c r="E36" s="12" t="n"/>
      <c r="F36" s="11" t="inlineStr">
        <is>
          <t>:</t>
        </is>
      </c>
      <c r="G36" s="1" t="n"/>
    </row>
    <row r="37">
      <c r="B37" s="1" t="inlineStr">
        <is>
          <t>l</t>
        </is>
      </c>
      <c r="C37" s="1" t="inlineStr">
        <is>
          <t>Fitness Cert Valid Upto</t>
        </is>
      </c>
      <c r="E37" s="12" t="n"/>
      <c r="F37" s="11" t="inlineStr">
        <is>
          <t>:</t>
        </is>
      </c>
      <c r="G37" s="1" t="n"/>
    </row>
    <row r="38">
      <c r="C38" s="1" t="inlineStr">
        <is>
          <t>Permit No.</t>
        </is>
      </c>
      <c r="E38" s="12" t="n"/>
      <c r="F38" s="11" t="inlineStr">
        <is>
          <t>:</t>
        </is>
      </c>
      <c r="G38" s="1" t="n"/>
    </row>
    <row r="39">
      <c r="C39" s="1" t="inlineStr">
        <is>
          <t>Valid Upto</t>
        </is>
      </c>
      <c r="E39" s="12" t="n"/>
      <c r="F39" s="11" t="inlineStr">
        <is>
          <t>:</t>
        </is>
      </c>
      <c r="G39" s="1" t="n"/>
    </row>
    <row r="40">
      <c r="C40" s="1" t="inlineStr">
        <is>
          <t>Type of Permit</t>
        </is>
      </c>
      <c r="E40" s="12" t="n"/>
      <c r="F40" s="11" t="inlineStr">
        <is>
          <t>:</t>
        </is>
      </c>
      <c r="G40" s="1" t="n"/>
    </row>
    <row r="41">
      <c r="C41" s="1" t="inlineStr">
        <is>
          <t>Route/area of Operation</t>
        </is>
      </c>
      <c r="E41" s="12" t="n"/>
      <c r="F41" s="11" t="inlineStr">
        <is>
          <t>:</t>
        </is>
      </c>
      <c r="G41" s="1" t="n"/>
    </row>
    <row r="42">
      <c r="B42" s="1" t="inlineStr">
        <is>
          <t>m</t>
        </is>
      </c>
      <c r="C42" s="1" t="inlineStr">
        <is>
          <t xml:space="preserve">Seating Capacity </t>
        </is>
      </c>
      <c r="E42" s="12" t="n"/>
      <c r="F42" s="11" t="inlineStr">
        <is>
          <t>:</t>
        </is>
      </c>
      <c r="G42" s="13" t="n"/>
      <c r="P42" s="3" t="n"/>
    </row>
    <row r="43">
      <c r="B43" s="1" t="inlineStr">
        <is>
          <t>n</t>
        </is>
      </c>
      <c r="C43" s="1" t="inlineStr">
        <is>
          <t>Road Tax Paid Upto</t>
        </is>
      </c>
      <c r="E43" s="12" t="n"/>
      <c r="F43" s="11" t="inlineStr">
        <is>
          <t>:</t>
        </is>
      </c>
      <c r="G43" s="1" t="n"/>
      <c r="J43" s="86" t="n"/>
      <c r="K43" s="94" t="n"/>
      <c r="P43" s="3" t="n"/>
    </row>
    <row r="44">
      <c r="B44" s="1" t="inlineStr">
        <is>
          <t>o</t>
        </is>
      </c>
      <c r="C44" s="1" t="inlineStr">
        <is>
          <t>Name of Regd. Owner as per RC</t>
        </is>
      </c>
      <c r="E44" s="12" t="n"/>
      <c r="F44" s="11" t="inlineStr">
        <is>
          <t>:</t>
        </is>
      </c>
      <c r="G44" s="1">
        <f>G18</f>
        <v/>
      </c>
      <c r="J44" s="24" t="inlineStr">
        <is>
          <t>Colour:</t>
        </is>
      </c>
      <c r="K44" s="7" t="n"/>
      <c r="P44" s="3" t="n"/>
    </row>
    <row r="45" ht="12.75" customHeight="1">
      <c r="B45" s="1" t="inlineStr">
        <is>
          <t>p</t>
        </is>
      </c>
      <c r="C45" s="1" t="inlineStr">
        <is>
          <t>Cubic capacity</t>
        </is>
      </c>
      <c r="E45" s="15" t="n"/>
      <c r="F45" s="15" t="n"/>
      <c r="G45" s="13" t="n"/>
    </row>
    <row r="46">
      <c r="B46" s="11" t="n">
        <v>3</v>
      </c>
      <c r="C46" s="3" t="inlineStr">
        <is>
          <t>DRIVER'S PARTICULARS</t>
        </is>
      </c>
      <c r="E46" s="12" t="n"/>
      <c r="F46" s="11" t="inlineStr">
        <is>
          <t>:</t>
        </is>
      </c>
      <c r="G46" s="3" t="inlineStr">
        <is>
          <t>DL Original Checked &amp; Found In Order</t>
        </is>
      </c>
    </row>
    <row r="47">
      <c r="B47" s="1" t="inlineStr">
        <is>
          <t>a</t>
        </is>
      </c>
      <c r="C47" s="1" t="inlineStr">
        <is>
          <t>Name of Driver</t>
        </is>
      </c>
      <c r="E47" s="12" t="n"/>
      <c r="F47" s="11" t="inlineStr">
        <is>
          <t>:</t>
        </is>
      </c>
      <c r="G47" s="1" t="n"/>
      <c r="J47" s="8" t="inlineStr">
        <is>
          <t>DOB:</t>
        </is>
      </c>
      <c r="K47" s="1" t="n"/>
    </row>
    <row r="48">
      <c r="C48" s="1" t="inlineStr">
        <is>
          <t>Address</t>
        </is>
      </c>
      <c r="E48" s="12" t="n"/>
      <c r="F48" s="11" t="inlineStr">
        <is>
          <t>:</t>
        </is>
      </c>
      <c r="G48" s="246" t="n"/>
      <c r="J48" s="8" t="n"/>
    </row>
    <row r="49">
      <c r="B49" s="1" t="inlineStr">
        <is>
          <t> </t>
        </is>
      </c>
      <c r="C49" s="1" t="inlineStr">
        <is>
          <t>City/State</t>
        </is>
      </c>
      <c r="E49" s="12" t="n"/>
      <c r="F49" s="11" t="inlineStr">
        <is>
          <t>:</t>
        </is>
      </c>
      <c r="G49" s="13" t="n"/>
      <c r="J49" s="8" t="inlineStr">
        <is>
          <t> </t>
        </is>
      </c>
      <c r="K49" s="1" t="inlineStr">
        <is>
          <t> </t>
        </is>
      </c>
    </row>
    <row r="50">
      <c r="B50" s="1" t="inlineStr">
        <is>
          <t>b</t>
        </is>
      </c>
      <c r="C50" s="3" t="inlineStr">
        <is>
          <t xml:space="preserve">LICENCE NO. </t>
        </is>
      </c>
      <c r="E50" s="12" t="n"/>
      <c r="F50" s="11" t="inlineStr">
        <is>
          <t>:</t>
        </is>
      </c>
      <c r="G50" s="11" t="n"/>
      <c r="J50" s="3" t="n"/>
    </row>
    <row r="51">
      <c r="B51" s="1" t="inlineStr">
        <is>
          <t>c</t>
        </is>
      </c>
      <c r="C51" s="1" t="inlineStr">
        <is>
          <t>Date of issue</t>
        </is>
      </c>
      <c r="E51" s="12" t="n"/>
      <c r="F51" s="11" t="inlineStr">
        <is>
          <t>:</t>
        </is>
      </c>
      <c r="G51" s="1" t="n"/>
    </row>
    <row r="52">
      <c r="B52" s="1" t="inlineStr">
        <is>
          <t>d</t>
        </is>
      </c>
      <c r="C52" s="1" t="inlineStr">
        <is>
          <t>Valid Till</t>
        </is>
      </c>
      <c r="E52" s="12" t="n"/>
      <c r="F52" s="11" t="inlineStr">
        <is>
          <t>:</t>
        </is>
      </c>
      <c r="G52" s="246" t="n"/>
    </row>
    <row r="53">
      <c r="B53" s="1" t="inlineStr">
        <is>
          <t>e</t>
        </is>
      </c>
      <c r="C53" s="1" t="inlineStr">
        <is>
          <t>Issuing Authority</t>
        </is>
      </c>
      <c r="E53" s="12" t="n"/>
      <c r="F53" s="11" t="inlineStr">
        <is>
          <t>:</t>
        </is>
      </c>
      <c r="G53" s="13" t="n"/>
    </row>
    <row r="54">
      <c r="B54" s="1" t="inlineStr">
        <is>
          <t>f</t>
        </is>
      </c>
      <c r="C54" s="1" t="inlineStr">
        <is>
          <t>Type of Licence</t>
        </is>
      </c>
      <c r="E54" s="12" t="n"/>
      <c r="F54" s="11" t="inlineStr">
        <is>
          <t>:</t>
        </is>
      </c>
      <c r="G54" s="1" t="n"/>
    </row>
    <row r="55" ht="12.75" customHeight="1">
      <c r="E55" s="15" t="n"/>
      <c r="F55" s="13" t="n"/>
    </row>
    <row r="56">
      <c r="B56" s="11" t="n">
        <v>4</v>
      </c>
      <c r="C56" s="3" t="inlineStr">
        <is>
          <t>ACCIDENT HISTORY</t>
        </is>
      </c>
      <c r="E56" s="15" t="n"/>
      <c r="F56" s="15" t="n"/>
    </row>
    <row r="57">
      <c r="B57" s="1" t="inlineStr">
        <is>
          <t>a</t>
        </is>
      </c>
      <c r="C57" s="1" t="inlineStr">
        <is>
          <t>Date of Accident</t>
        </is>
      </c>
      <c r="E57" s="12" t="n"/>
      <c r="F57" s="11" t="inlineStr">
        <is>
          <t>:</t>
        </is>
      </c>
      <c r="G57" s="242" t="n"/>
      <c r="N57" s="3" t="n"/>
    </row>
    <row r="58">
      <c r="B58" s="1" t="inlineStr">
        <is>
          <t>b</t>
        </is>
      </c>
      <c r="C58" s="1" t="inlineStr">
        <is>
          <t>Place of Accident</t>
        </is>
      </c>
      <c r="E58" s="12" t="n"/>
      <c r="F58" s="11" t="inlineStr">
        <is>
          <t>:</t>
        </is>
      </c>
      <c r="G58" s="1" t="n"/>
    </row>
    <row r="59" ht="12.75" customHeight="1">
      <c r="F59" s="11" t="n"/>
    </row>
    <row r="60">
      <c r="B60" s="11" t="n">
        <v>5</v>
      </c>
      <c r="C60" s="3" t="inlineStr">
        <is>
          <t>DETAIL OF SURVEY</t>
        </is>
      </c>
      <c r="E60" s="15" t="n"/>
      <c r="F60" s="15" t="n"/>
    </row>
    <row r="61">
      <c r="C61" s="1" t="inlineStr">
        <is>
          <t>Date of Allotment of Survey</t>
        </is>
      </c>
      <c r="E61" s="12" t="n"/>
      <c r="F61" s="11" t="inlineStr">
        <is>
          <t>:</t>
        </is>
      </c>
      <c r="G61" s="1" t="n"/>
      <c r="H61" s="3" t="n"/>
    </row>
    <row r="62">
      <c r="C62" s="1" t="inlineStr">
        <is>
          <t>Date and Time of Survey</t>
        </is>
      </c>
      <c r="E62" s="12" t="n"/>
      <c r="F62" s="11" t="inlineStr">
        <is>
          <t>:</t>
        </is>
      </c>
      <c r="G62" s="1" t="n"/>
      <c r="H62" s="1" t="inlineStr">
        <is>
          <t xml:space="preserve">and onwards </t>
        </is>
      </c>
    </row>
    <row r="63">
      <c r="C63" s="1" t="inlineStr">
        <is>
          <t>Date of Spot Survey Report Recd.</t>
        </is>
      </c>
      <c r="E63" s="15" t="n"/>
      <c r="F63" s="11" t="inlineStr">
        <is>
          <t>:</t>
        </is>
      </c>
      <c r="G63" s="1" t="n"/>
    </row>
    <row r="64">
      <c r="C64" s="1" t="inlineStr">
        <is>
          <t>Person Present at the Time of Survey</t>
        </is>
      </c>
      <c r="E64" s="12" t="n"/>
      <c r="F64" s="11" t="inlineStr">
        <is>
          <t>:</t>
        </is>
      </c>
      <c r="G64" s="1" t="n"/>
    </row>
    <row r="65">
      <c r="E65" s="12" t="n"/>
      <c r="F65" s="11" t="n"/>
    </row>
    <row r="66">
      <c r="E66" s="12" t="n"/>
      <c r="F66" s="11" t="n"/>
    </row>
    <row r="67">
      <c r="B67" s="11" t="n">
        <v>6</v>
      </c>
      <c r="C67" s="3" t="inlineStr">
        <is>
          <t>PLACE OF SURVEY</t>
        </is>
      </c>
      <c r="E67" s="3" t="n"/>
      <c r="F67" s="11" t="n"/>
    </row>
    <row r="68">
      <c r="B68" s="11" t="n"/>
      <c r="C68" s="1" t="inlineStr">
        <is>
          <t>Workshop</t>
        </is>
      </c>
      <c r="E68" s="3" t="n"/>
      <c r="F68" s="11" t="inlineStr">
        <is>
          <t>:</t>
        </is>
      </c>
      <c r="G68" s="1" t="n"/>
    </row>
    <row r="69">
      <c r="B69" s="11" t="n"/>
      <c r="C69" s="1" t="inlineStr">
        <is>
          <t>Address</t>
        </is>
      </c>
      <c r="E69" s="3" t="n"/>
      <c r="F69" s="11" t="inlineStr">
        <is>
          <t>:</t>
        </is>
      </c>
      <c r="G69" s="1" t="n"/>
    </row>
    <row r="70">
      <c r="B70" s="11" t="n"/>
      <c r="C70" s="1" t="inlineStr">
        <is>
          <t>Status</t>
        </is>
      </c>
      <c r="E70" s="3" t="n"/>
      <c r="F70" s="11" t="inlineStr">
        <is>
          <t>:</t>
        </is>
      </c>
      <c r="G70" s="1" t="n"/>
    </row>
    <row r="72">
      <c r="B72" s="11" t="n">
        <v>7</v>
      </c>
      <c r="C72" s="3" t="inlineStr">
        <is>
          <t>FIR DETAIL</t>
        </is>
      </c>
      <c r="E72" s="12" t="n"/>
      <c r="F72" s="11" t="inlineStr">
        <is>
          <t>:</t>
        </is>
      </c>
      <c r="G72" s="1" t="n"/>
    </row>
    <row r="73">
      <c r="B73" s="11" t="n"/>
      <c r="C73" s="3" t="n"/>
      <c r="E73" s="3" t="n"/>
      <c r="F73" s="11" t="n"/>
    </row>
    <row r="74">
      <c r="B74" s="11" t="n">
        <v>8</v>
      </c>
      <c r="C74" s="3" t="inlineStr">
        <is>
          <t>INJURY/THIRD PARTY LOSS</t>
        </is>
      </c>
      <c r="E74" s="12" t="n"/>
      <c r="F74" s="11" t="inlineStr">
        <is>
          <t>:</t>
        </is>
      </c>
      <c r="G74" s="1" t="n"/>
    </row>
    <row r="76">
      <c r="B76" s="11" t="n">
        <v>9</v>
      </c>
      <c r="C76" s="3" t="inlineStr">
        <is>
          <t>CAUSE AND NATURE OF ACCIDENT</t>
        </is>
      </c>
      <c r="E76" s="15" t="n"/>
      <c r="F76" s="15" t="n"/>
    </row>
    <row r="77">
      <c r="B77" s="11" t="n"/>
      <c r="C77" s="1" t="inlineStr">
        <is>
          <t>As stated in the Claim Form,</t>
        </is>
      </c>
      <c r="E77" s="15" t="n"/>
      <c r="F77" s="15" t="n"/>
    </row>
    <row r="78" ht="28.5" customHeight="1">
      <c r="B78" s="11" t="n"/>
      <c r="C78" s="244" t="n"/>
    </row>
    <row r="80" ht="15" customHeight="1">
      <c r="B80" s="11" t="n">
        <v>10</v>
      </c>
      <c r="C80" s="3" t="inlineStr">
        <is>
          <t>OBERVATIONS/COMMENTS</t>
        </is>
      </c>
    </row>
    <row r="81" ht="40.5" customHeight="1">
      <c r="B81" s="11" t="n"/>
      <c r="C81" s="244" t="n"/>
    </row>
    <row r="82">
      <c r="A82" s="15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</row>
    <row r="83">
      <c r="B83" s="11" t="n">
        <v>11</v>
      </c>
      <c r="C83" s="3" t="inlineStr">
        <is>
          <t>MAIN DAMAGES</t>
        </is>
      </c>
      <c r="I83" s="3" t="n"/>
    </row>
    <row r="84">
      <c r="B84" s="11" t="n"/>
      <c r="C84" s="1" t="n"/>
      <c r="I84" s="3" t="n"/>
    </row>
    <row r="85">
      <c r="B85" s="11" t="n"/>
      <c r="I85" s="3" t="n"/>
    </row>
    <row r="86" ht="12.75" customHeight="1">
      <c r="B86" s="11" t="n">
        <v>12</v>
      </c>
      <c r="C86" s="3" t="inlineStr">
        <is>
          <t>NOTES:</t>
        </is>
      </c>
      <c r="I86" s="3" t="n"/>
    </row>
    <row r="87" ht="12.75" customHeight="1">
      <c r="B87" s="53" t="n">
        <v>1</v>
      </c>
      <c r="C87" s="1" t="n"/>
      <c r="I87" s="3" t="n"/>
    </row>
    <row r="88" ht="12.75" customHeight="1">
      <c r="B88" s="53" t="n">
        <v>2</v>
      </c>
      <c r="C88" s="1" t="inlineStr">
        <is>
          <t>The salvage of the vehicle has been destroyed/crushed in the presence of the Repairer.</t>
        </is>
      </c>
      <c r="I88" s="3" t="n"/>
    </row>
    <row r="89" ht="12.75" customHeight="1">
      <c r="B89" s="53" t="n">
        <v>3</v>
      </c>
      <c r="C89" s="1" t="inlineStr">
        <is>
          <t>Re-inspection too has been done by me. All the replacemnets of parts and repair job have been dully carried out.</t>
        </is>
      </c>
      <c r="I89" s="3" t="n"/>
    </row>
    <row r="90">
      <c r="B90" s="53" t="n">
        <v>4</v>
      </c>
      <c r="C90" s="3" t="inlineStr">
        <is>
          <t>Insured's vehicle has NIL DEP Policy.</t>
        </is>
      </c>
      <c r="I90" s="3" t="n"/>
    </row>
    <row r="91">
      <c r="B91" s="53" t="n"/>
      <c r="C91" s="3" t="n"/>
      <c r="I91" s="3" t="n"/>
    </row>
    <row r="92">
      <c r="B92" s="11" t="n">
        <v>13</v>
      </c>
      <c r="C92" s="3" t="inlineStr">
        <is>
          <t>DETAIL OF ASSESSMENT</t>
        </is>
      </c>
    </row>
    <row r="93">
      <c r="B93" s="3" t="n"/>
      <c r="E93" s="6" t="n"/>
    </row>
    <row r="94">
      <c r="B94" s="19" t="n"/>
      <c r="C94" s="20" t="n"/>
      <c r="D94" s="20" t="inlineStr">
        <is>
          <t>COMPULSORY DEDUCTIBLE</t>
        </is>
      </c>
      <c r="E94" s="20" t="n"/>
      <c r="F94" s="21" t="n"/>
      <c r="G94" s="20" t="n"/>
      <c r="H94" s="20" t="n"/>
      <c r="I94" s="20" t="n"/>
      <c r="J94" s="22" t="n">
        <v>500</v>
      </c>
    </row>
    <row r="95">
      <c r="B95" s="2" t="inlineStr">
        <is>
          <t>LIFE OF VEHICLE ( IN YEARS )</t>
        </is>
      </c>
      <c r="E95" s="6" t="n"/>
      <c r="F95" s="250">
        <f>E261</f>
        <v/>
      </c>
      <c r="G95" s="1" t="inlineStr">
        <is>
          <t>SO, DEP. ON METAL (IN %)</t>
        </is>
      </c>
      <c r="J95" s="4">
        <f>IF(F95&lt;0.5,0,IF(F95&lt;1,5,IF(F95&lt;2,10,IF(F95&lt;3,15,IF(F95&lt;4,25,IF(F95&lt;5,35,IF(F95&lt;10,40,50)))))))</f>
        <v/>
      </c>
    </row>
    <row r="96">
      <c r="B96" s="19" t="inlineStr">
        <is>
          <t>GSTIN (IN %) FOR PARTS</t>
        </is>
      </c>
      <c r="C96" s="20" t="n"/>
      <c r="D96" s="20" t="n"/>
      <c r="F96" s="115" t="n">
        <v>18</v>
      </c>
      <c r="G96" s="20" t="inlineStr">
        <is>
          <t>GSTIN (IN %) FOR LABOUR</t>
        </is>
      </c>
      <c r="H96" s="20" t="n"/>
      <c r="I96" s="20" t="n"/>
      <c r="J96" s="114" t="n">
        <v>18</v>
      </c>
    </row>
    <row r="97">
      <c r="B97" s="62" t="n"/>
      <c r="C97" s="62" t="n"/>
      <c r="D97" s="62" t="n"/>
      <c r="E97" s="62" t="n"/>
      <c r="F97" s="62" t="n"/>
      <c r="G97" s="62" t="n"/>
    </row>
    <row r="98">
      <c r="B98" s="6" t="n"/>
      <c r="C98" s="6" t="n"/>
      <c r="D98" s="6" t="n"/>
      <c r="E98" s="6" t="n"/>
      <c r="F98" s="6" t="n"/>
      <c r="G98" s="6" t="inlineStr">
        <is>
          <t>GST 18%</t>
        </is>
      </c>
      <c r="H98" s="6" t="inlineStr">
        <is>
          <t>GST 18%</t>
        </is>
      </c>
      <c r="I98" s="6" t="inlineStr">
        <is>
          <t>GST 18%</t>
        </is>
      </c>
    </row>
    <row r="99">
      <c r="B99" s="24" t="inlineStr">
        <is>
          <t>S.N.</t>
        </is>
      </c>
      <c r="C99" s="24" t="inlineStr">
        <is>
          <t>Part Discription</t>
        </is>
      </c>
      <c r="D99" s="6" t="n"/>
      <c r="E99" s="7" t="n"/>
      <c r="F99" s="48" t="inlineStr">
        <is>
          <t>Estimated</t>
        </is>
      </c>
      <c r="G99" s="48" t="inlineStr">
        <is>
          <t>Metal</t>
        </is>
      </c>
      <c r="H99" s="48" t="inlineStr">
        <is>
          <t>Plastic</t>
        </is>
      </c>
      <c r="I99" s="177" t="inlineStr">
        <is>
          <t>Glass</t>
        </is>
      </c>
      <c r="J99" s="8" t="inlineStr">
        <is>
          <t>extra</t>
        </is>
      </c>
    </row>
    <row r="100">
      <c r="B100" s="105" t="n">
        <v>1</v>
      </c>
      <c r="C100" s="262" t="inlineStr">
        <is>
          <t>COVER ASSY CYLINDER HEAD</t>
        </is>
      </c>
      <c r="E100" s="4" t="n"/>
      <c r="F100" s="26" t="n">
        <v>2327.5</v>
      </c>
      <c r="G100" s="26" t="inlineStr">
        <is>
          <t>N.A.</t>
        </is>
      </c>
      <c r="H100" s="26" t="n"/>
      <c r="I100" s="26" t="n"/>
      <c r="K100" s="13" t="n"/>
    </row>
    <row r="101">
      <c r="B101" s="76" t="n">
        <v>2</v>
      </c>
      <c r="C101" s="263" t="inlineStr">
        <is>
          <t>BLOCK ASSY, CYLINDER</t>
        </is>
      </c>
      <c r="E101" s="4" t="n"/>
      <c r="F101" s="26" t="n">
        <v>21175</v>
      </c>
      <c r="G101" s="26" t="inlineStr">
        <is>
          <t>N.A.</t>
        </is>
      </c>
      <c r="H101" s="26" t="n"/>
      <c r="I101" s="26" t="n"/>
      <c r="K101" s="13" t="n"/>
    </row>
    <row r="102">
      <c r="B102" s="76" t="n">
        <v>3</v>
      </c>
      <c r="C102" s="263" t="inlineStr">
        <is>
          <t>PAN, OIL</t>
        </is>
      </c>
      <c r="E102" s="4" t="n"/>
      <c r="F102" s="26" t="n">
        <v>2189</v>
      </c>
      <c r="G102" s="26" t="inlineStr">
        <is>
          <t>N.A.</t>
        </is>
      </c>
      <c r="H102" s="26" t="n"/>
      <c r="I102" s="26" t="n"/>
      <c r="K102" s="13" t="n"/>
    </row>
    <row r="103">
      <c r="B103" s="76" t="n">
        <v>4</v>
      </c>
      <c r="C103" s="263" t="inlineStr">
        <is>
          <t>PLUG OIL DRAIN</t>
        </is>
      </c>
      <c r="E103" s="4" t="n"/>
      <c r="F103" s="26" t="n">
        <v>43</v>
      </c>
      <c r="G103" s="26" t="inlineStr">
        <is>
          <t>N.A.</t>
        </is>
      </c>
      <c r="H103" s="26" t="n"/>
      <c r="I103" s="26" t="n"/>
      <c r="K103" s="13" t="n"/>
    </row>
    <row r="104">
      <c r="B104" s="76" t="n">
        <v>5</v>
      </c>
      <c r="C104" s="263" t="inlineStr">
        <is>
          <t>MOUNTING COMP, ENG RH</t>
        </is>
      </c>
      <c r="E104" s="4" t="n"/>
      <c r="F104" s="26" t="n">
        <v>1636</v>
      </c>
      <c r="G104" s="26" t="inlineStr">
        <is>
          <t>N.A.</t>
        </is>
      </c>
      <c r="H104" s="26" t="n"/>
      <c r="I104" s="26" t="n"/>
      <c r="K104" s="13" t="n"/>
    </row>
    <row r="105">
      <c r="B105" s="76" t="n">
        <v>6</v>
      </c>
      <c r="C105" s="263" t="inlineStr">
        <is>
          <t>MOUNTING COMP, ENG LH</t>
        </is>
      </c>
      <c r="E105" s="4" t="n"/>
      <c r="F105" s="26" t="n">
        <v>1138.5</v>
      </c>
      <c r="G105" s="26" t="inlineStr">
        <is>
          <t>N.A.</t>
        </is>
      </c>
      <c r="H105" s="26" t="n"/>
      <c r="I105" s="26" t="n"/>
      <c r="K105" s="13" t="n"/>
    </row>
    <row r="106">
      <c r="B106" s="76" t="n">
        <v>7</v>
      </c>
      <c r="C106" s="263" t="inlineStr">
        <is>
          <t>ROD, ENG RR</t>
        </is>
      </c>
      <c r="E106" s="4" t="n"/>
      <c r="F106" s="26" t="n">
        <v>585</v>
      </c>
      <c r="G106" s="26" t="inlineStr">
        <is>
          <t>N.A.</t>
        </is>
      </c>
      <c r="H106" s="26" t="n"/>
      <c r="I106" s="26" t="n"/>
      <c r="K106" s="13" t="n"/>
    </row>
    <row r="107">
      <c r="B107" s="76" t="n">
        <v>8</v>
      </c>
      <c r="C107" s="263" t="inlineStr">
        <is>
          <t>BRACKET, ENG RR MTG</t>
        </is>
      </c>
      <c r="E107" s="4" t="n"/>
      <c r="F107" s="26" t="n">
        <v>746.5</v>
      </c>
      <c r="G107" s="26" t="inlineStr">
        <is>
          <t>N.A.</t>
        </is>
      </c>
      <c r="H107" s="26" t="n"/>
      <c r="I107" s="26" t="n"/>
      <c r="K107" s="13" t="n"/>
    </row>
    <row r="108">
      <c r="B108" s="76" t="n">
        <v>9</v>
      </c>
      <c r="C108" s="263" t="inlineStr">
        <is>
          <t>PLATE, SENSOR</t>
        </is>
      </c>
      <c r="E108" s="4" t="n"/>
      <c r="F108" s="26" t="n">
        <v>89</v>
      </c>
      <c r="G108" s="26" t="inlineStr">
        <is>
          <t>N.A.</t>
        </is>
      </c>
      <c r="H108" s="26" t="n"/>
      <c r="I108" s="26" t="n"/>
      <c r="K108" s="13" t="n"/>
    </row>
    <row r="109">
      <c r="B109" s="76" t="n">
        <v>10</v>
      </c>
      <c r="C109" s="263" t="inlineStr">
        <is>
          <t>CLEANER ASSY, AIR</t>
        </is>
      </c>
      <c r="E109" s="4" t="n"/>
      <c r="F109" s="26" t="n">
        <v>915</v>
      </c>
      <c r="G109" s="26" t="inlineStr">
        <is>
          <t>N.A.</t>
        </is>
      </c>
      <c r="H109" s="26" t="n"/>
      <c r="I109" s="26" t="n"/>
      <c r="K109" s="13" t="n"/>
    </row>
    <row r="110">
      <c r="B110" s="76" t="n">
        <v>11</v>
      </c>
      <c r="C110" s="263" t="inlineStr">
        <is>
          <t>PIPE, AIR CLNR SUCT</t>
        </is>
      </c>
      <c r="E110" s="4" t="n"/>
      <c r="F110" s="26" t="n">
        <v>133.5</v>
      </c>
      <c r="G110" s="26" t="inlineStr">
        <is>
          <t>N.A.</t>
        </is>
      </c>
      <c r="H110" s="26" t="n"/>
      <c r="I110" s="26" t="n"/>
      <c r="K110" s="13" t="n"/>
    </row>
    <row r="111">
      <c r="B111" s="76" t="n">
        <v>12</v>
      </c>
      <c r="C111" s="263" t="inlineStr">
        <is>
          <t>PIPE,AIR CLNR SUCT</t>
        </is>
      </c>
      <c r="E111" s="4" t="n"/>
      <c r="F111" s="26" t="n">
        <v>96.5</v>
      </c>
      <c r="G111" s="26" t="inlineStr">
        <is>
          <t>N.A.</t>
        </is>
      </c>
      <c r="H111" s="26" t="n"/>
      <c r="I111" s="26" t="n"/>
      <c r="K111" s="13" t="n"/>
    </row>
    <row r="112">
      <c r="B112" s="76" t="n">
        <v>13</v>
      </c>
      <c r="C112" s="263" t="inlineStr">
        <is>
          <t>HOSE, AIR CLNR SUCT</t>
        </is>
      </c>
      <c r="E112" s="4" t="n"/>
      <c r="F112" s="26" t="n">
        <v>300</v>
      </c>
      <c r="G112" s="26" t="inlineStr">
        <is>
          <t>N.A.</t>
        </is>
      </c>
      <c r="H112" s="26" t="n"/>
      <c r="I112" s="26" t="n"/>
      <c r="K112" s="13" t="n"/>
    </row>
    <row r="113">
      <c r="B113" s="76" t="n">
        <v>14</v>
      </c>
      <c r="C113" s="263" t="inlineStr">
        <is>
          <t>HOSE, AIR CLNR OUTLET</t>
        </is>
      </c>
      <c r="E113" s="4" t="n"/>
      <c r="F113" s="26" t="n">
        <v>1226</v>
      </c>
      <c r="G113" s="26" t="inlineStr">
        <is>
          <t>N.A.</t>
        </is>
      </c>
      <c r="H113" s="26" t="n"/>
      <c r="I113" s="26" t="n"/>
      <c r="K113" s="13" t="n"/>
    </row>
    <row r="114">
      <c r="B114" s="76" t="n">
        <v>15</v>
      </c>
      <c r="C114" s="263" t="inlineStr">
        <is>
          <t>PIPE COMP, EXH</t>
        </is>
      </c>
      <c r="E114" s="4" t="n"/>
      <c r="F114" s="26" t="n">
        <v>903</v>
      </c>
      <c r="G114" s="26" t="inlineStr">
        <is>
          <t>N.A.</t>
        </is>
      </c>
      <c r="H114" s="26" t="n"/>
      <c r="I114" s="26" t="n"/>
      <c r="K114" s="13" t="n"/>
    </row>
    <row r="115">
      <c r="B115" s="76" t="n">
        <v>16</v>
      </c>
      <c r="C115" s="263" t="inlineStr">
        <is>
          <t>MUFFLER COMP</t>
        </is>
      </c>
      <c r="E115" s="4" t="n"/>
      <c r="F115" s="26" t="n">
        <v>6826</v>
      </c>
      <c r="G115" s="26" t="inlineStr">
        <is>
          <t>N.A.</t>
        </is>
      </c>
      <c r="H115" s="26" t="n"/>
      <c r="I115" s="26" t="n"/>
      <c r="K115" s="13" t="n"/>
    </row>
    <row r="116">
      <c r="B116" s="76" t="n">
        <v>17</v>
      </c>
      <c r="C116" s="263" t="inlineStr">
        <is>
          <t>PUMP ASSY, FUEL</t>
        </is>
      </c>
      <c r="E116" s="4" t="n"/>
      <c r="F116" s="26" t="n">
        <v>9089.5</v>
      </c>
      <c r="G116" s="26" t="inlineStr">
        <is>
          <t>N.A.</t>
        </is>
      </c>
      <c r="H116" s="26" t="n"/>
      <c r="I116" s="26" t="n"/>
      <c r="K116" s="13" t="n"/>
    </row>
    <row r="117">
      <c r="B117" s="76" t="n">
        <v>18</v>
      </c>
      <c r="C117" s="263" t="inlineStr">
        <is>
          <t>PUMP ASSY, OIL</t>
        </is>
      </c>
      <c r="E117" s="4" t="n"/>
      <c r="F117" s="26" t="n">
        <v>4930</v>
      </c>
      <c r="G117" s="26" t="inlineStr">
        <is>
          <t>N.A.</t>
        </is>
      </c>
      <c r="H117" s="26" t="n"/>
      <c r="I117" s="26" t="n"/>
      <c r="K117" s="13" t="n"/>
    </row>
    <row r="118">
      <c r="B118" s="76" t="n">
        <v>19</v>
      </c>
      <c r="C118" s="263" t="inlineStr">
        <is>
          <t>FILTER ASSY, OIL</t>
        </is>
      </c>
      <c r="E118" s="4" t="n"/>
      <c r="F118" s="26" t="n">
        <v>99</v>
      </c>
      <c r="G118" s="26" t="inlineStr">
        <is>
          <t>N.A.</t>
        </is>
      </c>
      <c r="H118" s="26" t="n"/>
      <c r="I118" s="26" t="n"/>
      <c r="K118" s="13" t="n"/>
    </row>
    <row r="119">
      <c r="B119" s="76" t="n">
        <v>20</v>
      </c>
      <c r="C119" s="263" t="inlineStr">
        <is>
          <t>STRAINER, OIL PUMP</t>
        </is>
      </c>
      <c r="E119" s="4" t="n"/>
      <c r="F119" s="26" t="n">
        <v>322.5</v>
      </c>
      <c r="G119" s="26" t="inlineStr">
        <is>
          <t>N.A.</t>
        </is>
      </c>
      <c r="H119" s="26" t="n"/>
      <c r="I119" s="26" t="n"/>
      <c r="K119" s="13" t="n"/>
    </row>
    <row r="120">
      <c r="B120" s="76" t="n">
        <v>21</v>
      </c>
      <c r="C120" s="263" t="inlineStr">
        <is>
          <t>VALVE, OIL CONTROL</t>
        </is>
      </c>
      <c r="E120" s="4" t="n"/>
      <c r="F120" s="26" t="n">
        <v>3152.5</v>
      </c>
      <c r="G120" s="26" t="inlineStr">
        <is>
          <t>N.A.</t>
        </is>
      </c>
      <c r="H120" s="26" t="n"/>
      <c r="I120" s="26" t="n"/>
      <c r="K120" s="13" t="n"/>
    </row>
    <row r="121">
      <c r="B121" s="76" t="n">
        <v>22</v>
      </c>
      <c r="C121" s="263" t="inlineStr">
        <is>
          <t>FAN ASSY, ENGINE COOLING</t>
        </is>
      </c>
      <c r="E121" s="4" t="n"/>
      <c r="F121" s="26" t="n">
        <v>7665</v>
      </c>
      <c r="G121" s="26" t="inlineStr">
        <is>
          <t>N.A.</t>
        </is>
      </c>
      <c r="H121" s="26" t="n"/>
      <c r="I121" s="26" t="n"/>
      <c r="K121" s="13" t="n"/>
    </row>
    <row r="122">
      <c r="B122" s="76" t="n">
        <v>23</v>
      </c>
      <c r="C122" s="263" t="inlineStr">
        <is>
          <t>PUMP ASSY, WATER</t>
        </is>
      </c>
      <c r="E122" s="4" t="n"/>
      <c r="F122" s="26" t="n">
        <v>1419.5</v>
      </c>
      <c r="G122" s="26" t="inlineStr">
        <is>
          <t>N.A.</t>
        </is>
      </c>
      <c r="H122" s="26" t="n"/>
      <c r="I122" s="26" t="n"/>
      <c r="K122" s="13" t="n"/>
    </row>
    <row r="123">
      <c r="B123" s="76" t="n">
        <v>24</v>
      </c>
      <c r="C123" s="263" t="inlineStr">
        <is>
          <t>PULLEY, WATER PUMP</t>
        </is>
      </c>
      <c r="E123" s="4" t="n"/>
      <c r="F123" s="26" t="n">
        <v>244</v>
      </c>
      <c r="G123" s="26" t="inlineStr">
        <is>
          <t>N.A.</t>
        </is>
      </c>
      <c r="H123" s="26" t="n"/>
      <c r="I123" s="26" t="n"/>
      <c r="K123" s="13" t="n"/>
    </row>
    <row r="124">
      <c r="B124" s="76" t="n">
        <v>25</v>
      </c>
      <c r="C124" s="263" t="inlineStr">
        <is>
          <t>CASE COMP, THERMO</t>
        </is>
      </c>
      <c r="E124" s="4" t="n"/>
      <c r="F124" s="26" t="n">
        <v>271.5</v>
      </c>
      <c r="G124" s="26" t="inlineStr">
        <is>
          <t>N.A.</t>
        </is>
      </c>
      <c r="H124" s="26" t="n"/>
      <c r="I124" s="26" t="n"/>
      <c r="K124" s="13" t="n"/>
    </row>
    <row r="125">
      <c r="B125" s="76" t="n">
        <v>26</v>
      </c>
      <c r="C125" s="263" t="inlineStr">
        <is>
          <t>RADIATOR ASSY</t>
        </is>
      </c>
      <c r="E125" s="4" t="n"/>
      <c r="F125" s="26" t="n">
        <v>6084</v>
      </c>
      <c r="G125" s="26" t="inlineStr">
        <is>
          <t>N.A.</t>
        </is>
      </c>
      <c r="H125" s="26" t="n"/>
      <c r="I125" s="26" t="n"/>
      <c r="K125" s="13" t="n"/>
    </row>
    <row r="126">
      <c r="B126" s="76" t="n">
        <v>27</v>
      </c>
      <c r="C126" s="263" t="inlineStr">
        <is>
          <t>PIPE, WTR INLET</t>
        </is>
      </c>
      <c r="E126" s="4" t="n"/>
      <c r="F126" s="26" t="n">
        <v>345.5</v>
      </c>
      <c r="G126" s="26" t="inlineStr">
        <is>
          <t>N.A.</t>
        </is>
      </c>
      <c r="H126" s="26" t="n"/>
      <c r="I126" s="26" t="n"/>
      <c r="K126" s="13" t="n"/>
    </row>
    <row r="127">
      <c r="B127" s="76" t="n">
        <v>28</v>
      </c>
      <c r="C127" s="263" t="inlineStr">
        <is>
          <t>HOSE, RDTR INLET</t>
        </is>
      </c>
      <c r="E127" s="4" t="n"/>
      <c r="F127" s="26" t="n">
        <v>68</v>
      </c>
      <c r="G127" s="26" t="inlineStr">
        <is>
          <t>N.A.</t>
        </is>
      </c>
      <c r="H127" s="26" t="n"/>
      <c r="I127" s="26" t="n"/>
      <c r="K127" s="13" t="n"/>
    </row>
    <row r="128">
      <c r="B128" s="76" t="n">
        <v>29</v>
      </c>
      <c r="C128" s="263" t="inlineStr">
        <is>
          <t>HOSE, RADIATOR OUTLET</t>
        </is>
      </c>
      <c r="E128" s="4" t="n"/>
      <c r="F128" s="26" t="n">
        <v>97</v>
      </c>
      <c r="G128" s="26" t="inlineStr">
        <is>
          <t>N.A.</t>
        </is>
      </c>
      <c r="H128" s="26" t="n"/>
      <c r="I128" s="26" t="n"/>
      <c r="K128" s="13" t="n"/>
    </row>
    <row r="129">
      <c r="B129" s="76" t="n">
        <v>30</v>
      </c>
      <c r="C129" s="263" t="inlineStr">
        <is>
          <t>HOSE, HTR INLET</t>
        </is>
      </c>
      <c r="E129" s="4" t="n"/>
      <c r="F129" s="26" t="n">
        <v>125</v>
      </c>
      <c r="G129" s="26" t="inlineStr">
        <is>
          <t>N.A.</t>
        </is>
      </c>
      <c r="H129" s="26" t="n"/>
      <c r="I129" s="26" t="n"/>
      <c r="K129" s="13" t="n"/>
    </row>
    <row r="130">
      <c r="B130" s="76" t="n">
        <v>31</v>
      </c>
      <c r="C130" s="263" t="inlineStr">
        <is>
          <t>HOSE, HTR OUTLET</t>
        </is>
      </c>
      <c r="E130" s="4" t="n"/>
      <c r="F130" s="26" t="n">
        <v>120</v>
      </c>
      <c r="G130" s="26" t="inlineStr">
        <is>
          <t>N.A.</t>
        </is>
      </c>
      <c r="H130" s="26" t="n"/>
      <c r="I130" s="26" t="n"/>
      <c r="K130" s="13" t="n"/>
    </row>
    <row r="131">
      <c r="B131" s="76" t="n">
        <v>32</v>
      </c>
      <c r="C131" s="263" t="inlineStr">
        <is>
          <t>TANK ASSY, WATER RESERVE</t>
        </is>
      </c>
      <c r="E131" s="4" t="n"/>
      <c r="F131" s="26" t="n">
        <v>216.5</v>
      </c>
      <c r="G131" s="26" t="inlineStr">
        <is>
          <t>N.A.</t>
        </is>
      </c>
      <c r="H131" s="26" t="n"/>
      <c r="I131" s="26" t="n"/>
      <c r="K131" s="13" t="n"/>
    </row>
    <row r="132">
      <c r="B132" s="76" t="n">
        <v>33</v>
      </c>
      <c r="C132" s="263" t="inlineStr">
        <is>
          <t>SENSOR, OXYGEN</t>
        </is>
      </c>
      <c r="E132" s="4" t="n"/>
      <c r="F132" s="26" t="n">
        <v>2194</v>
      </c>
      <c r="G132" s="26" t="inlineStr">
        <is>
          <t>N.A.</t>
        </is>
      </c>
      <c r="H132" s="26" t="n"/>
      <c r="I132" s="26" t="n"/>
      <c r="K132" s="13" t="n"/>
    </row>
    <row r="133">
      <c r="B133" s="76" t="n">
        <v>34</v>
      </c>
      <c r="C133" s="263" t="inlineStr">
        <is>
          <t>SENSOR, OXYGEN RR</t>
        </is>
      </c>
      <c r="E133" s="4" t="n"/>
      <c r="F133" s="26" t="n">
        <v>2205</v>
      </c>
      <c r="G133" s="26" t="inlineStr">
        <is>
          <t>N.A.</t>
        </is>
      </c>
      <c r="H133" s="26" t="n"/>
      <c r="I133" s="26" t="n"/>
      <c r="K133" s="13" t="n"/>
    </row>
    <row r="134">
      <c r="A134" s="264" t="n"/>
      <c r="B134" s="265" t="n">
        <v>35</v>
      </c>
      <c r="C134" s="265" t="inlineStr">
        <is>
          <t>CASE, TRANSAXLE LEFT</t>
        </is>
      </c>
      <c r="D134" s="264" t="n"/>
      <c r="E134" s="266" t="n"/>
      <c r="F134" s="267" t="n">
        <v>7855</v>
      </c>
      <c r="G134" s="267" t="inlineStr">
        <is>
          <t>N.A.</t>
        </is>
      </c>
      <c r="H134" s="267" t="n"/>
      <c r="I134" s="267" t="n"/>
      <c r="J134" s="264" t="n"/>
      <c r="K134" s="268" t="n"/>
      <c r="L134" s="264" t="n"/>
      <c r="M134" s="264" t="n"/>
      <c r="N134" s="264" t="n"/>
      <c r="O134" s="264" t="n"/>
      <c r="P134" s="264" t="n"/>
      <c r="Q134" s="264" t="n"/>
      <c r="R134" s="264" t="n"/>
      <c r="S134" s="264" t="n"/>
      <c r="T134" s="264" t="n"/>
      <c r="U134" s="264" t="n"/>
      <c r="V134" s="264" t="n"/>
      <c r="W134" s="264" t="n"/>
      <c r="X134" s="264" t="n"/>
      <c r="Y134" s="264" t="n"/>
    </row>
    <row r="135">
      <c r="A135" s="264" t="n"/>
      <c r="B135" s="265" t="n">
        <v>36</v>
      </c>
      <c r="C135" s="265" t="inlineStr">
        <is>
          <t>SHAFT ASSY, GEAR SHIFT &amp;</t>
        </is>
      </c>
      <c r="D135" s="264" t="n"/>
      <c r="E135" s="266" t="n"/>
      <c r="F135" s="267" t="n">
        <v>2936</v>
      </c>
      <c r="G135" s="267" t="inlineStr">
        <is>
          <t>N.A.</t>
        </is>
      </c>
      <c r="H135" s="267" t="n"/>
      <c r="I135" s="267" t="n"/>
      <c r="J135" s="264" t="n"/>
      <c r="K135" s="268" t="n"/>
      <c r="L135" s="264" t="n"/>
      <c r="M135" s="264" t="n"/>
      <c r="N135" s="264" t="n"/>
      <c r="O135" s="264" t="n"/>
      <c r="P135" s="264" t="n"/>
      <c r="Q135" s="264" t="n"/>
      <c r="R135" s="264" t="n"/>
      <c r="S135" s="264" t="n"/>
      <c r="T135" s="264" t="n"/>
      <c r="U135" s="264" t="n"/>
      <c r="V135" s="264" t="n"/>
      <c r="W135" s="264" t="n"/>
      <c r="X135" s="264" t="n"/>
      <c r="Y135" s="264" t="n"/>
    </row>
    <row r="136">
      <c r="A136" s="264" t="n"/>
      <c r="B136" s="265" t="n">
        <v>37</v>
      </c>
      <c r="C136" s="265" t="inlineStr">
        <is>
          <t>GENERATOR ASSY</t>
        </is>
      </c>
      <c r="D136" s="264" t="n"/>
      <c r="E136" s="266" t="n"/>
      <c r="F136" s="267" t="n">
        <v>8906</v>
      </c>
      <c r="G136" s="267" t="inlineStr">
        <is>
          <t>N.A.</t>
        </is>
      </c>
      <c r="H136" s="267" t="n"/>
      <c r="I136" s="267" t="n"/>
      <c r="J136" s="264" t="n"/>
      <c r="K136" s="268" t="n"/>
      <c r="L136" s="264" t="n"/>
      <c r="M136" s="264" t="n"/>
      <c r="N136" s="264" t="n"/>
      <c r="O136" s="264" t="n"/>
      <c r="P136" s="264" t="n"/>
      <c r="Q136" s="264" t="n"/>
      <c r="R136" s="264" t="n"/>
      <c r="S136" s="264" t="n"/>
      <c r="T136" s="264" t="n"/>
      <c r="U136" s="264" t="n"/>
      <c r="V136" s="264" t="n"/>
      <c r="W136" s="264" t="n"/>
      <c r="X136" s="264" t="n"/>
      <c r="Y136" s="264" t="n"/>
    </row>
    <row r="137" ht="12" customHeight="1">
      <c r="A137" s="264" t="n"/>
      <c r="B137" s="265" t="n">
        <v>38</v>
      </c>
      <c r="C137" s="265" t="inlineStr">
        <is>
          <t>COVER COMP, BATTERY</t>
        </is>
      </c>
      <c r="D137" s="264" t="n"/>
      <c r="E137" s="266" t="n"/>
      <c r="F137" s="267" t="n">
        <v>68</v>
      </c>
      <c r="G137" s="267" t="inlineStr">
        <is>
          <t>N.A.</t>
        </is>
      </c>
      <c r="H137" s="267" t="n"/>
      <c r="I137" s="267" t="n"/>
      <c r="J137" s="264" t="n"/>
      <c r="K137" s="268" t="n"/>
      <c r="L137" s="264" t="n"/>
      <c r="M137" s="264" t="n"/>
      <c r="N137" s="264" t="n"/>
      <c r="O137" s="264" t="n"/>
      <c r="P137" s="264" t="n"/>
      <c r="Q137" s="264" t="n"/>
      <c r="R137" s="264" t="n"/>
      <c r="S137" s="264" t="n"/>
      <c r="T137" s="264" t="n"/>
      <c r="U137" s="264" t="n"/>
      <c r="V137" s="264" t="n"/>
      <c r="W137" s="264" t="n"/>
      <c r="X137" s="264" t="n"/>
      <c r="Y137" s="264" t="n"/>
    </row>
    <row r="138" ht="12" customHeight="1">
      <c r="A138" s="264" t="n"/>
      <c r="B138" s="265" t="n">
        <v>39</v>
      </c>
      <c r="C138" s="265" t="inlineStr">
        <is>
          <t>CABLE, BTRY GND</t>
        </is>
      </c>
      <c r="D138" s="264" t="n"/>
      <c r="E138" s="266" t="n"/>
      <c r="F138" s="267" t="n">
        <v>1189</v>
      </c>
      <c r="G138" s="267" t="inlineStr">
        <is>
          <t>N.A.</t>
        </is>
      </c>
      <c r="H138" s="267" t="n"/>
      <c r="I138" s="267" t="n"/>
      <c r="J138" s="264" t="n"/>
      <c r="K138" s="268" t="n"/>
      <c r="L138" s="264" t="n"/>
      <c r="M138" s="264" t="n"/>
      <c r="N138" s="264" t="n"/>
      <c r="O138" s="264" t="n"/>
      <c r="P138" s="264" t="n"/>
      <c r="Q138" s="264" t="n"/>
      <c r="R138" s="264" t="n"/>
      <c r="S138" s="264" t="n"/>
      <c r="T138" s="264" t="n"/>
      <c r="U138" s="264" t="n"/>
      <c r="V138" s="264" t="n"/>
      <c r="W138" s="264" t="n"/>
      <c r="X138" s="264" t="n"/>
      <c r="Y138" s="264" t="n"/>
    </row>
    <row r="139">
      <c r="A139" s="264" t="n"/>
      <c r="B139" s="265" t="n">
        <v>40</v>
      </c>
      <c r="C139" s="265" t="inlineStr">
        <is>
          <t>CABLE SET, BTRY GND</t>
        </is>
      </c>
      <c r="D139" s="264" t="n"/>
      <c r="E139" s="266" t="n"/>
      <c r="F139" s="267" t="n">
        <v>1246</v>
      </c>
      <c r="G139" s="267" t="inlineStr">
        <is>
          <t>N.A.</t>
        </is>
      </c>
      <c r="H139" s="267" t="n"/>
      <c r="I139" s="267" t="n"/>
      <c r="J139" s="264" t="n"/>
      <c r="K139" s="268" t="n"/>
      <c r="L139" s="264" t="n"/>
      <c r="M139" s="264" t="n"/>
      <c r="N139" s="264" t="n"/>
      <c r="O139" s="264" t="n"/>
      <c r="P139" s="264" t="n"/>
      <c r="Q139" s="264" t="n"/>
      <c r="R139" s="264" t="n"/>
      <c r="S139" s="264" t="n"/>
      <c r="T139" s="264" t="n"/>
      <c r="U139" s="264" t="n"/>
      <c r="V139" s="264" t="n"/>
      <c r="W139" s="264" t="n"/>
      <c r="X139" s="264" t="n"/>
      <c r="Y139" s="264" t="n"/>
    </row>
    <row r="140">
      <c r="A140" s="264" t="n"/>
      <c r="B140" s="265" t="n">
        <v>41</v>
      </c>
      <c r="C140" s="265" t="inlineStr">
        <is>
          <t>SPEEDOMETER ASSY, COMB</t>
        </is>
      </c>
      <c r="D140" s="264" t="n"/>
      <c r="E140" s="266" t="n"/>
      <c r="F140" s="267" t="n">
        <v>4955</v>
      </c>
      <c r="G140" s="267" t="inlineStr">
        <is>
          <t>N.A.</t>
        </is>
      </c>
      <c r="H140" s="267" t="n"/>
      <c r="I140" s="267" t="n"/>
      <c r="J140" s="264" t="n"/>
      <c r="K140" s="268" t="n"/>
      <c r="L140" s="264" t="n"/>
      <c r="M140" s="264" t="n"/>
      <c r="N140" s="264" t="n"/>
      <c r="O140" s="264" t="n"/>
      <c r="P140" s="264" t="n"/>
      <c r="Q140" s="264" t="n"/>
      <c r="R140" s="264" t="n"/>
      <c r="S140" s="264" t="n"/>
      <c r="T140" s="264" t="n"/>
      <c r="U140" s="264" t="n"/>
      <c r="V140" s="264" t="n"/>
      <c r="W140" s="264" t="n"/>
      <c r="X140" s="264" t="n"/>
      <c r="Y140" s="264" t="n"/>
    </row>
    <row r="141">
      <c r="A141" s="264" t="n"/>
      <c r="B141" s="265" t="n">
        <v>42</v>
      </c>
      <c r="C141" s="265" t="inlineStr">
        <is>
          <t>HEADLAMP ASSY,R</t>
        </is>
      </c>
      <c r="D141" s="264" t="n"/>
      <c r="E141" s="266" t="n"/>
      <c r="F141" s="267" t="n">
        <v>3050</v>
      </c>
      <c r="G141" s="267" t="inlineStr">
        <is>
          <t>N.A.</t>
        </is>
      </c>
      <c r="H141" s="267" t="n"/>
      <c r="I141" s="267" t="n"/>
      <c r="J141" s="264" t="n"/>
      <c r="K141" s="268" t="n"/>
      <c r="L141" s="264" t="n"/>
      <c r="M141" s="264" t="n"/>
      <c r="N141" s="264" t="n"/>
      <c r="O141" s="264" t="n"/>
      <c r="P141" s="264" t="n"/>
      <c r="Q141" s="264" t="n"/>
      <c r="R141" s="264" t="n"/>
      <c r="S141" s="264" t="n"/>
      <c r="T141" s="264" t="n"/>
      <c r="U141" s="264" t="n"/>
      <c r="V141" s="264" t="n"/>
      <c r="W141" s="264" t="n"/>
      <c r="X141" s="264" t="n"/>
      <c r="Y141" s="264" t="n"/>
    </row>
    <row r="142">
      <c r="A142" s="264" t="n"/>
      <c r="B142" s="265" t="n">
        <v>43</v>
      </c>
      <c r="C142" s="265" t="inlineStr">
        <is>
          <t>HEADLAMP ASSY,L</t>
        </is>
      </c>
      <c r="D142" s="264" t="n"/>
      <c r="E142" s="266" t="n"/>
      <c r="F142" s="267" t="n">
        <v>2885</v>
      </c>
      <c r="G142" s="267" t="inlineStr">
        <is>
          <t>N.A.</t>
        </is>
      </c>
      <c r="H142" s="267" t="n"/>
      <c r="I142" s="267" t="n"/>
      <c r="J142" s="264" t="n"/>
      <c r="K142" s="268" t="n"/>
      <c r="L142" s="264" t="n"/>
      <c r="M142" s="264" t="n"/>
      <c r="N142" s="264" t="n"/>
      <c r="O142" s="264" t="n"/>
      <c r="P142" s="264" t="n"/>
      <c r="Q142" s="264" t="n"/>
      <c r="R142" s="264" t="n"/>
      <c r="S142" s="264" t="n"/>
      <c r="T142" s="264" t="n"/>
      <c r="U142" s="264" t="n"/>
      <c r="V142" s="264" t="n"/>
      <c r="W142" s="264" t="n"/>
      <c r="X142" s="264" t="n"/>
      <c r="Y142" s="264" t="n"/>
    </row>
    <row r="143">
      <c r="A143" s="264" t="n"/>
      <c r="B143" s="265" t="n">
        <v>44</v>
      </c>
      <c r="C143" s="265" t="inlineStr">
        <is>
          <t>HARNESS SET, MAIN</t>
        </is>
      </c>
      <c r="D143" s="264" t="n"/>
      <c r="E143" s="266" t="n"/>
      <c r="F143" s="267" t="n">
        <v>11345</v>
      </c>
      <c r="G143" s="267" t="inlineStr">
        <is>
          <t>N.A.</t>
        </is>
      </c>
      <c r="H143" s="267" t="n"/>
      <c r="I143" s="267" t="n"/>
      <c r="J143" s="264" t="n"/>
      <c r="K143" s="268" t="n"/>
      <c r="L143" s="264" t="n"/>
      <c r="M143" s="264" t="n"/>
      <c r="N143" s="264" t="n"/>
      <c r="O143" s="264" t="n"/>
      <c r="P143" s="264" t="n"/>
      <c r="Q143" s="264" t="n"/>
      <c r="R143" s="264" t="n"/>
      <c r="S143" s="264" t="n"/>
      <c r="T143" s="264" t="n"/>
      <c r="U143" s="264" t="n"/>
      <c r="V143" s="264" t="n"/>
      <c r="W143" s="264" t="n"/>
      <c r="X143" s="264" t="n"/>
      <c r="Y143" s="264" t="n"/>
    </row>
    <row r="144" ht="12.75" customHeight="1">
      <c r="A144" s="264" t="n"/>
      <c r="B144" s="265" t="n">
        <v>45</v>
      </c>
      <c r="C144" s="265" t="inlineStr">
        <is>
          <t>LAMP ASSY, SIDE TURN</t>
        </is>
      </c>
      <c r="D144" s="264" t="n"/>
      <c r="E144" s="266" t="n"/>
      <c r="F144" s="267" t="n">
        <v>145</v>
      </c>
      <c r="G144" s="267" t="inlineStr">
        <is>
          <t>N.A.</t>
        </is>
      </c>
      <c r="H144" s="267" t="n"/>
      <c r="I144" s="267" t="n"/>
      <c r="J144" s="264" t="n"/>
      <c r="K144" s="268" t="n"/>
      <c r="L144" s="264" t="n"/>
      <c r="M144" s="264" t="n"/>
      <c r="N144" s="264" t="n"/>
      <c r="O144" s="264" t="n"/>
      <c r="P144" s="264" t="n"/>
      <c r="Q144" s="264" t="n"/>
      <c r="R144" s="264" t="n"/>
      <c r="S144" s="264" t="n"/>
      <c r="T144" s="264" t="n"/>
      <c r="U144" s="264" t="n"/>
      <c r="V144" s="264" t="n"/>
      <c r="W144" s="264" t="n"/>
      <c r="X144" s="264" t="n"/>
      <c r="Y144" s="264" t="n"/>
    </row>
    <row r="145" ht="12.75" customHeight="1">
      <c r="A145" s="264" t="n"/>
      <c r="B145" s="265" t="n">
        <v>46</v>
      </c>
      <c r="C145" s="265" t="inlineStr">
        <is>
          <t>WIRE COMP, A/B</t>
        </is>
      </c>
      <c r="D145" s="264" t="n"/>
      <c r="E145" s="266" t="n"/>
      <c r="F145" s="267" t="n">
        <v>285</v>
      </c>
      <c r="G145" s="267" t="inlineStr">
        <is>
          <t>N.A.</t>
        </is>
      </c>
      <c r="H145" s="267" t="n"/>
      <c r="I145" s="267" t="n"/>
      <c r="J145" s="264" t="n"/>
      <c r="K145" s="268" t="n"/>
      <c r="L145" s="264" t="n"/>
      <c r="M145" s="264" t="n"/>
      <c r="N145" s="264" t="n"/>
      <c r="O145" s="264" t="n"/>
      <c r="P145" s="264" t="n"/>
      <c r="Q145" s="264" t="n"/>
      <c r="R145" s="264" t="n"/>
      <c r="S145" s="264" t="n"/>
      <c r="T145" s="264" t="n"/>
      <c r="U145" s="264" t="n"/>
      <c r="V145" s="264" t="n"/>
      <c r="W145" s="264" t="n"/>
      <c r="X145" s="264" t="n"/>
      <c r="Y145" s="264" t="n"/>
    </row>
    <row r="146" ht="12.75" customHeight="1">
      <c r="A146" s="264" t="n"/>
      <c r="B146" s="265" t="n">
        <v>47</v>
      </c>
      <c r="C146" s="265" t="inlineStr">
        <is>
          <t>CONTROLLER ASSY BODY ELEC</t>
        </is>
      </c>
      <c r="D146" s="264" t="n"/>
      <c r="E146" s="266" t="n"/>
      <c r="F146" s="267" t="n">
        <v>3213</v>
      </c>
      <c r="G146" s="267" t="inlineStr">
        <is>
          <t>N.A.</t>
        </is>
      </c>
      <c r="H146" s="267" t="n"/>
      <c r="I146" s="267" t="n"/>
      <c r="J146" s="264" t="n"/>
      <c r="K146" s="268" t="n"/>
      <c r="L146" s="264" t="n"/>
      <c r="M146" s="264" t="n"/>
      <c r="N146" s="264" t="n"/>
      <c r="O146" s="264" t="n"/>
      <c r="P146" s="264" t="n"/>
      <c r="Q146" s="264" t="n"/>
      <c r="R146" s="264" t="n"/>
      <c r="S146" s="264" t="n"/>
      <c r="T146" s="264" t="n"/>
      <c r="U146" s="264" t="n"/>
      <c r="V146" s="264" t="n"/>
      <c r="W146" s="264" t="n"/>
      <c r="X146" s="264" t="n"/>
      <c r="Y146" s="264" t="n"/>
    </row>
    <row r="147" ht="12.75" customHeight="1">
      <c r="A147" s="264" t="n"/>
      <c r="B147" s="265" t="n">
        <v>48</v>
      </c>
      <c r="C147" s="265" t="inlineStr">
        <is>
          <t>SWITCH ASSY LIGHTING &amp; TURN</t>
        </is>
      </c>
      <c r="D147" s="264" t="n"/>
      <c r="E147" s="266" t="n"/>
      <c r="F147" s="267" t="n">
        <v>1045</v>
      </c>
      <c r="G147" s="267" t="inlineStr">
        <is>
          <t>N.A.</t>
        </is>
      </c>
      <c r="H147" s="267" t="n"/>
      <c r="I147" s="267" t="n"/>
      <c r="J147" s="264" t="n"/>
      <c r="K147" s="268" t="n"/>
      <c r="L147" s="264" t="n"/>
      <c r="M147" s="264" t="n"/>
      <c r="N147" s="264" t="n"/>
      <c r="O147" s="264" t="n"/>
      <c r="P147" s="264" t="n"/>
      <c r="Q147" s="264" t="n"/>
      <c r="R147" s="264" t="n"/>
      <c r="S147" s="264" t="n"/>
      <c r="T147" s="264" t="n"/>
      <c r="U147" s="264" t="n"/>
      <c r="V147" s="264" t="n"/>
      <c r="W147" s="264" t="n"/>
      <c r="X147" s="264" t="n"/>
      <c r="Y147" s="264" t="n"/>
    </row>
    <row r="148" ht="12.75" customHeight="1">
      <c r="A148" s="264" t="n"/>
      <c r="B148" s="265" t="n">
        <v>49</v>
      </c>
      <c r="C148" s="265" t="inlineStr">
        <is>
          <t>CAP, MIRROR SW HOLE</t>
        </is>
      </c>
      <c r="D148" s="264" t="n"/>
      <c r="E148" s="266" t="n"/>
      <c r="F148" s="267" t="n">
        <v>37.5</v>
      </c>
      <c r="G148" s="267" t="inlineStr">
        <is>
          <t>N.A.</t>
        </is>
      </c>
      <c r="H148" s="267" t="n"/>
      <c r="I148" s="267" t="n"/>
      <c r="J148" s="264" t="n"/>
      <c r="K148" s="268" t="n"/>
      <c r="L148" s="264" t="n"/>
      <c r="M148" s="264" t="n"/>
      <c r="N148" s="264" t="n"/>
      <c r="O148" s="264" t="n"/>
      <c r="P148" s="264" t="n"/>
      <c r="Q148" s="264" t="n"/>
      <c r="R148" s="264" t="n"/>
      <c r="S148" s="264" t="n"/>
      <c r="T148" s="264" t="n"/>
      <c r="U148" s="264" t="n"/>
      <c r="V148" s="264" t="n"/>
      <c r="W148" s="264" t="n"/>
      <c r="X148" s="264" t="n"/>
      <c r="Y148" s="264" t="n"/>
    </row>
    <row r="149" ht="12.75" customHeight="1">
      <c r="A149" s="264" t="n"/>
      <c r="B149" s="265" t="n">
        <v>50</v>
      </c>
      <c r="C149" s="265" t="inlineStr">
        <is>
          <t>SWITCH ASSY, WIPER &amp; WASHER</t>
        </is>
      </c>
      <c r="D149" s="264" t="n"/>
      <c r="E149" s="266" t="n"/>
      <c r="F149" s="267" t="n">
        <v>765</v>
      </c>
      <c r="G149" s="267" t="inlineStr">
        <is>
          <t>N.A.</t>
        </is>
      </c>
      <c r="H149" s="267" t="n"/>
      <c r="I149" s="267" t="n"/>
      <c r="J149" s="264" t="n"/>
      <c r="K149" s="268" t="n"/>
      <c r="L149" s="264" t="n"/>
      <c r="M149" s="264" t="n"/>
      <c r="N149" s="264" t="n"/>
      <c r="O149" s="264" t="n"/>
      <c r="P149" s="264" t="n"/>
      <c r="Q149" s="264" t="n"/>
      <c r="R149" s="264" t="n"/>
      <c r="S149" s="264" t="n"/>
      <c r="T149" s="264" t="n"/>
      <c r="U149" s="264" t="n"/>
      <c r="V149" s="264" t="n"/>
      <c r="W149" s="264" t="n"/>
      <c r="X149" s="264" t="n"/>
      <c r="Y149" s="264" t="n"/>
    </row>
    <row r="150" ht="12.75" customHeight="1">
      <c r="A150" s="264" t="n"/>
      <c r="B150" s="265" t="n">
        <v>51</v>
      </c>
      <c r="C150" s="265" t="inlineStr">
        <is>
          <t>SWITCH ASSY, HAZARD WARNING</t>
        </is>
      </c>
      <c r="D150" s="264" t="n"/>
      <c r="E150" s="266" t="n"/>
      <c r="F150" s="267" t="n">
        <v>277</v>
      </c>
      <c r="G150" s="267" t="inlineStr">
        <is>
          <t>N.A.</t>
        </is>
      </c>
      <c r="H150" s="267" t="n"/>
      <c r="I150" s="267" t="n"/>
      <c r="J150" s="264" t="n"/>
      <c r="K150" s="268" t="n"/>
      <c r="L150" s="264" t="n"/>
      <c r="M150" s="264" t="n"/>
      <c r="N150" s="264" t="n"/>
      <c r="O150" s="264" t="n"/>
      <c r="P150" s="264" t="n"/>
      <c r="Q150" s="264" t="n"/>
      <c r="R150" s="264" t="n"/>
      <c r="S150" s="264" t="n"/>
      <c r="T150" s="264" t="n"/>
      <c r="U150" s="264" t="n"/>
      <c r="V150" s="264" t="n"/>
      <c r="W150" s="264" t="n"/>
      <c r="X150" s="264" t="n"/>
      <c r="Y150" s="264" t="n"/>
    </row>
    <row r="151" ht="12.75" customHeight="1">
      <c r="A151" s="264" t="n"/>
      <c r="B151" s="265" t="n">
        <v>52</v>
      </c>
      <c r="C151" s="265" t="inlineStr">
        <is>
          <t>CABLE ASSY, CONTACT COIL</t>
        </is>
      </c>
      <c r="D151" s="264" t="n"/>
      <c r="E151" s="266" t="n"/>
      <c r="F151" s="267" t="n">
        <v>845</v>
      </c>
      <c r="G151" s="267" t="inlineStr">
        <is>
          <t>N.A.</t>
        </is>
      </c>
      <c r="H151" s="267" t="n"/>
      <c r="I151" s="267" t="n"/>
      <c r="J151" s="264" t="n"/>
      <c r="K151" s="268" t="n"/>
      <c r="L151" s="264" t="n"/>
      <c r="M151" s="264" t="n"/>
      <c r="N151" s="264" t="n"/>
      <c r="O151" s="264" t="n"/>
      <c r="P151" s="264" t="n"/>
      <c r="Q151" s="264" t="n"/>
      <c r="R151" s="264" t="n"/>
      <c r="S151" s="264" t="n"/>
      <c r="T151" s="264" t="n"/>
      <c r="U151" s="264" t="n"/>
      <c r="V151" s="264" t="n"/>
      <c r="W151" s="264" t="n"/>
      <c r="X151" s="264" t="n"/>
      <c r="Y151" s="264" t="n"/>
    </row>
    <row r="152" ht="12.75" customHeight="1">
      <c r="A152" s="264" t="n"/>
      <c r="B152" s="265" t="n">
        <v>53</v>
      </c>
      <c r="C152" s="265" t="inlineStr">
        <is>
          <t>SWITCH ASSYPOWER WINDOW</t>
        </is>
      </c>
      <c r="D152" s="264" t="n"/>
      <c r="E152" s="266" t="n"/>
      <c r="F152" s="267" t="n">
        <v>1500</v>
      </c>
      <c r="G152" s="267" t="inlineStr">
        <is>
          <t>N.A.</t>
        </is>
      </c>
      <c r="H152" s="267" t="n"/>
      <c r="I152" s="267" t="n"/>
      <c r="J152" s="264" t="n"/>
      <c r="K152" s="268" t="n"/>
      <c r="L152" s="264" t="n"/>
      <c r="M152" s="264" t="n"/>
      <c r="N152" s="264" t="n"/>
      <c r="O152" s="264" t="n"/>
      <c r="P152" s="264" t="n"/>
      <c r="Q152" s="264" t="n"/>
      <c r="R152" s="264" t="n"/>
      <c r="S152" s="264" t="n"/>
      <c r="T152" s="264" t="n"/>
      <c r="U152" s="264" t="n"/>
      <c r="V152" s="264" t="n"/>
      <c r="W152" s="264" t="n"/>
      <c r="X152" s="264" t="n"/>
      <c r="Y152" s="264" t="n"/>
    </row>
    <row r="153" ht="12.75" customHeight="1">
      <c r="A153" s="264" t="n"/>
      <c r="B153" s="265" t="n">
        <v>54</v>
      </c>
      <c r="C153" s="265" t="inlineStr">
        <is>
          <t>WIPER ASSY, WINDSHIELD</t>
        </is>
      </c>
      <c r="D153" s="264" t="n"/>
      <c r="E153" s="266" t="n"/>
      <c r="F153" s="267" t="n">
        <v>3569</v>
      </c>
      <c r="G153" s="267" t="inlineStr">
        <is>
          <t>N.A.</t>
        </is>
      </c>
      <c r="H153" s="267" t="n"/>
      <c r="I153" s="267" t="n"/>
      <c r="J153" s="264" t="n"/>
      <c r="K153" s="268" t="n"/>
      <c r="L153" s="264" t="n"/>
      <c r="M153" s="264" t="n"/>
      <c r="N153" s="264" t="n"/>
      <c r="O153" s="264" t="n"/>
      <c r="P153" s="264" t="n"/>
      <c r="Q153" s="264" t="n"/>
      <c r="R153" s="264" t="n"/>
      <c r="S153" s="264" t="n"/>
      <c r="T153" s="264" t="n"/>
      <c r="U153" s="264" t="n"/>
      <c r="V153" s="264" t="n"/>
      <c r="W153" s="264" t="n"/>
      <c r="X153" s="264" t="n"/>
      <c r="Y153" s="264" t="n"/>
    </row>
    <row r="154" ht="12.75" customHeight="1">
      <c r="A154" s="264" t="n"/>
      <c r="B154" s="265" t="n">
        <v>55</v>
      </c>
      <c r="C154" s="265" t="inlineStr">
        <is>
          <t>ARM ASSY, WIPER, DRVR</t>
        </is>
      </c>
      <c r="D154" s="264" t="n"/>
      <c r="E154" s="266" t="n"/>
      <c r="F154" s="267" t="n">
        <v>620</v>
      </c>
      <c r="G154" s="267" t="inlineStr">
        <is>
          <t>N.A.</t>
        </is>
      </c>
      <c r="H154" s="267" t="n"/>
      <c r="I154" s="267" t="n"/>
      <c r="J154" s="264" t="n"/>
      <c r="K154" s="268" t="n"/>
      <c r="L154" s="264" t="n"/>
      <c r="M154" s="264" t="n"/>
      <c r="N154" s="264" t="n"/>
      <c r="O154" s="264" t="n"/>
      <c r="P154" s="264" t="n"/>
      <c r="Q154" s="264" t="n"/>
      <c r="R154" s="264" t="n"/>
      <c r="S154" s="264" t="n"/>
      <c r="T154" s="264" t="n"/>
      <c r="U154" s="264" t="n"/>
      <c r="V154" s="264" t="n"/>
      <c r="W154" s="264" t="n"/>
      <c r="X154" s="264" t="n"/>
      <c r="Y154" s="264" t="n"/>
    </row>
    <row r="155" ht="12.75" customHeight="1">
      <c r="A155" s="264" t="n"/>
      <c r="B155" s="265" t="n">
        <v>56</v>
      </c>
      <c r="C155" s="265" t="inlineStr">
        <is>
          <t>BLADE ASSY WIPER</t>
        </is>
      </c>
      <c r="D155" s="264" t="n"/>
      <c r="E155" s="266" t="n"/>
      <c r="F155" s="267" t="n">
        <v>545</v>
      </c>
      <c r="G155" s="267" t="inlineStr">
        <is>
          <t>N.A.</t>
        </is>
      </c>
      <c r="H155" s="267" t="n"/>
      <c r="I155" s="267" t="n"/>
      <c r="J155" s="264" t="n"/>
      <c r="K155" s="268" t="n"/>
      <c r="L155" s="264" t="n"/>
      <c r="M155" s="264" t="n"/>
      <c r="N155" s="264" t="n"/>
      <c r="O155" s="264" t="n"/>
      <c r="P155" s="264" t="n"/>
      <c r="Q155" s="264" t="n"/>
      <c r="R155" s="264" t="n"/>
      <c r="S155" s="264" t="n"/>
      <c r="T155" s="264" t="n"/>
      <c r="U155" s="264" t="n"/>
      <c r="V155" s="264" t="n"/>
      <c r="W155" s="264" t="n"/>
      <c r="X155" s="264" t="n"/>
      <c r="Y155" s="264" t="n"/>
    </row>
    <row r="156" ht="12.75" customHeight="1">
      <c r="A156" s="264" t="n"/>
      <c r="B156" s="265" t="n">
        <v>57</v>
      </c>
      <c r="C156" s="265" t="inlineStr">
        <is>
          <t>BLADE ASSY WIPER DRIVER</t>
        </is>
      </c>
      <c r="D156" s="264" t="n"/>
      <c r="E156" s="266" t="n"/>
      <c r="F156" s="267" t="n">
        <v>515</v>
      </c>
      <c r="G156" s="267" t="inlineStr">
        <is>
          <t>N.A.</t>
        </is>
      </c>
      <c r="H156" s="267" t="n"/>
      <c r="I156" s="267" t="n"/>
      <c r="J156" s="264" t="n"/>
      <c r="K156" s="268" t="n"/>
      <c r="L156" s="264" t="n"/>
      <c r="M156" s="264" t="n"/>
      <c r="N156" s="264" t="n"/>
      <c r="O156" s="264" t="n"/>
      <c r="P156" s="264" t="n"/>
      <c r="Q156" s="264" t="n"/>
      <c r="R156" s="264" t="n"/>
      <c r="S156" s="264" t="n"/>
      <c r="T156" s="264" t="n"/>
      <c r="U156" s="264" t="n"/>
      <c r="V156" s="264" t="n"/>
      <c r="W156" s="264" t="n"/>
      <c r="X156" s="264" t="n"/>
      <c r="Y156" s="264" t="n"/>
    </row>
    <row r="157" ht="12.75" customHeight="1">
      <c r="A157" s="264" t="n"/>
      <c r="B157" s="265" t="n">
        <v>58</v>
      </c>
      <c r="C157" s="265" t="inlineStr">
        <is>
          <t>INLET SET, WASHER WITH CAP</t>
        </is>
      </c>
      <c r="D157" s="264" t="n"/>
      <c r="E157" s="266" t="n"/>
      <c r="F157" s="267" t="n">
        <v>50.5</v>
      </c>
      <c r="G157" s="267" t="inlineStr">
        <is>
          <t>N.A.</t>
        </is>
      </c>
      <c r="H157" s="267" t="n"/>
      <c r="I157" s="267" t="n"/>
      <c r="J157" s="264" t="n"/>
      <c r="K157" s="268" t="n"/>
      <c r="L157" s="264" t="n"/>
      <c r="M157" s="264" t="n"/>
      <c r="N157" s="264" t="n"/>
      <c r="O157" s="264" t="n"/>
      <c r="P157" s="264" t="n"/>
      <c r="Q157" s="264" t="n"/>
      <c r="R157" s="264" t="n"/>
      <c r="S157" s="264" t="n"/>
      <c r="T157" s="264" t="n"/>
      <c r="U157" s="264" t="n"/>
      <c r="V157" s="264" t="n"/>
      <c r="W157" s="264" t="n"/>
      <c r="X157" s="264" t="n"/>
      <c r="Y157" s="264" t="n"/>
    </row>
    <row r="158" ht="12.75" customHeight="1">
      <c r="A158" s="264" t="n"/>
      <c r="B158" s="265" t="n">
        <v>59</v>
      </c>
      <c r="C158" s="265" t="inlineStr">
        <is>
          <t>PUMP ASSY, RR</t>
        </is>
      </c>
      <c r="D158" s="264" t="n"/>
      <c r="E158" s="266" t="n"/>
      <c r="F158" s="267" t="n">
        <v>308.5</v>
      </c>
      <c r="G158" s="267" t="inlineStr">
        <is>
          <t>N.A.</t>
        </is>
      </c>
      <c r="H158" s="267" t="n"/>
      <c r="I158" s="267" t="n"/>
      <c r="J158" s="264" t="n"/>
      <c r="K158" s="268" t="n"/>
      <c r="L158" s="264" t="n"/>
      <c r="M158" s="264" t="n"/>
      <c r="N158" s="264" t="n"/>
      <c r="O158" s="264" t="n"/>
      <c r="P158" s="264" t="n"/>
      <c r="Q158" s="264" t="n"/>
      <c r="R158" s="264" t="n"/>
      <c r="S158" s="264" t="n"/>
      <c r="T158" s="264" t="n"/>
      <c r="U158" s="264" t="n"/>
      <c r="V158" s="264" t="n"/>
      <c r="W158" s="264" t="n"/>
      <c r="X158" s="264" t="n"/>
      <c r="Y158" s="264" t="n"/>
    </row>
    <row r="159" ht="12.75" customHeight="1">
      <c r="A159" s="264" t="n"/>
      <c r="B159" s="265" t="n">
        <v>60</v>
      </c>
      <c r="C159" s="265" t="inlineStr">
        <is>
          <t>TANK</t>
        </is>
      </c>
      <c r="D159" s="264" t="n"/>
      <c r="E159" s="266" t="n"/>
      <c r="F159" s="267" t="n">
        <v>193.5</v>
      </c>
      <c r="G159" s="267" t="inlineStr">
        <is>
          <t>N.A.</t>
        </is>
      </c>
      <c r="H159" s="267" t="n"/>
      <c r="I159" s="267" t="n"/>
      <c r="J159" s="264" t="n"/>
      <c r="K159" s="268" t="n"/>
      <c r="L159" s="264" t="n"/>
      <c r="M159" s="264" t="n"/>
      <c r="N159" s="264" t="n"/>
      <c r="O159" s="264" t="n"/>
      <c r="P159" s="264" t="n"/>
      <c r="Q159" s="264" t="n"/>
      <c r="R159" s="264" t="n"/>
      <c r="S159" s="264" t="n"/>
      <c r="T159" s="264" t="n"/>
      <c r="U159" s="264" t="n"/>
      <c r="V159" s="264" t="n"/>
      <c r="W159" s="264" t="n"/>
      <c r="X159" s="264" t="n"/>
      <c r="Y159" s="264" t="n"/>
    </row>
    <row r="160" ht="12.75" customHeight="1">
      <c r="A160" s="264" t="n"/>
      <c r="B160" s="265" t="n">
        <v>61</v>
      </c>
      <c r="C160" s="265" t="inlineStr">
        <is>
          <t>CAP ASSY TANK (ALTO)</t>
        </is>
      </c>
      <c r="D160" s="264" t="n"/>
      <c r="E160" s="266" t="n"/>
      <c r="F160" s="267" t="n">
        <v>5.5</v>
      </c>
      <c r="G160" s="267" t="inlineStr">
        <is>
          <t>N.A.</t>
        </is>
      </c>
      <c r="H160" s="267" t="n"/>
      <c r="I160" s="267" t="n"/>
      <c r="J160" s="264" t="n"/>
      <c r="K160" s="268" t="n"/>
      <c r="L160" s="264" t="n"/>
      <c r="M160" s="264" t="n"/>
      <c r="N160" s="264" t="n"/>
      <c r="O160" s="264" t="n"/>
      <c r="P160" s="264" t="n"/>
      <c r="Q160" s="264" t="n"/>
      <c r="R160" s="264" t="n"/>
      <c r="S160" s="264" t="n"/>
      <c r="T160" s="264" t="n"/>
      <c r="U160" s="264" t="n"/>
      <c r="V160" s="264" t="n"/>
      <c r="W160" s="264" t="n"/>
      <c r="X160" s="264" t="n"/>
      <c r="Y160" s="264" t="n"/>
    </row>
    <row r="161" ht="12.75" customHeight="1">
      <c r="A161" s="264" t="n"/>
      <c r="B161" s="265" t="n">
        <v>62</v>
      </c>
      <c r="C161" s="265" t="inlineStr">
        <is>
          <t>NOZZLE, WASHER</t>
        </is>
      </c>
      <c r="D161" s="264" t="n"/>
      <c r="E161" s="266" t="n"/>
      <c r="F161" s="267" t="n">
        <v>103</v>
      </c>
      <c r="G161" s="267" t="inlineStr">
        <is>
          <t>N.A.</t>
        </is>
      </c>
      <c r="H161" s="267" t="n"/>
      <c r="I161" s="267" t="n"/>
      <c r="J161" s="264" t="n"/>
      <c r="K161" s="268" t="n"/>
      <c r="L161" s="264" t="n"/>
      <c r="M161" s="264" t="n"/>
      <c r="N161" s="264" t="n"/>
      <c r="O161" s="264" t="n"/>
      <c r="P161" s="264" t="n"/>
      <c r="Q161" s="264" t="n"/>
      <c r="R161" s="264" t="n"/>
      <c r="S161" s="264" t="n"/>
      <c r="T161" s="264" t="n"/>
      <c r="U161" s="264" t="n"/>
      <c r="V161" s="264" t="n"/>
      <c r="W161" s="264" t="n"/>
      <c r="X161" s="264" t="n"/>
      <c r="Y161" s="264" t="n"/>
    </row>
    <row r="162" ht="12.75" customHeight="1">
      <c r="A162" s="264" t="n"/>
      <c r="B162" s="265" t="n">
        <v>63</v>
      </c>
      <c r="C162" s="265" t="inlineStr">
        <is>
          <t>HOSE</t>
        </is>
      </c>
      <c r="D162" s="264" t="n"/>
      <c r="E162" s="266" t="n"/>
      <c r="F162" s="267" t="n">
        <v>29.5</v>
      </c>
      <c r="G162" s="267" t="inlineStr">
        <is>
          <t>N.A.</t>
        </is>
      </c>
      <c r="H162" s="267" t="n"/>
      <c r="I162" s="267" t="n"/>
      <c r="J162" s="264" t="n"/>
      <c r="K162" s="268" t="n"/>
      <c r="L162" s="264" t="n"/>
      <c r="M162" s="264" t="n"/>
      <c r="N162" s="264" t="n"/>
      <c r="O162" s="264" t="n"/>
      <c r="P162" s="264" t="n"/>
      <c r="Q162" s="264" t="n"/>
      <c r="R162" s="264" t="n"/>
      <c r="S162" s="264" t="n"/>
      <c r="T162" s="264" t="n"/>
      <c r="U162" s="264" t="n"/>
      <c r="V162" s="264" t="n"/>
      <c r="W162" s="264" t="n"/>
      <c r="X162" s="264" t="n"/>
      <c r="Y162" s="264" t="n"/>
    </row>
    <row r="163" ht="12.75" customHeight="1">
      <c r="A163" s="264" t="n"/>
      <c r="B163" s="265" t="n">
        <v>64</v>
      </c>
      <c r="C163" s="265" t="inlineStr">
        <is>
          <t>HORN ASSY, LOW PITCHED</t>
        </is>
      </c>
      <c r="D163" s="264" t="n"/>
      <c r="E163" s="266" t="n"/>
      <c r="F163" s="267" t="n">
        <v>345</v>
      </c>
      <c r="G163" s="267" t="inlineStr">
        <is>
          <t>N.A.</t>
        </is>
      </c>
      <c r="H163" s="267" t="n"/>
      <c r="I163" s="267" t="n"/>
      <c r="J163" s="264" t="n"/>
      <c r="K163" s="268" t="n"/>
      <c r="L163" s="264" t="n"/>
      <c r="M163" s="264" t="n"/>
      <c r="N163" s="264" t="n"/>
      <c r="O163" s="264" t="n"/>
      <c r="P163" s="264" t="n"/>
      <c r="Q163" s="264" t="n"/>
      <c r="R163" s="264" t="n"/>
      <c r="S163" s="264" t="n"/>
      <c r="T163" s="264" t="n"/>
      <c r="U163" s="264" t="n"/>
      <c r="V163" s="264" t="n"/>
      <c r="W163" s="264" t="n"/>
      <c r="X163" s="264" t="n"/>
      <c r="Y163" s="264" t="n"/>
    </row>
    <row r="164" ht="12.75" customHeight="1">
      <c r="A164" s="264" t="n"/>
      <c r="B164" s="265" t="n">
        <v>65</v>
      </c>
      <c r="C164" s="265" t="inlineStr">
        <is>
          <t>HORN ASSY, HIGH PITCHED</t>
        </is>
      </c>
      <c r="D164" s="264" t="n"/>
      <c r="E164" s="266" t="n"/>
      <c r="F164" s="267" t="n">
        <v>345</v>
      </c>
      <c r="G164" s="267" t="inlineStr">
        <is>
          <t>N.A.</t>
        </is>
      </c>
      <c r="H164" s="267" t="n"/>
      <c r="I164" s="267" t="n"/>
      <c r="J164" s="264" t="n"/>
      <c r="K164" s="268" t="n"/>
      <c r="L164" s="264" t="n"/>
      <c r="M164" s="264" t="n"/>
      <c r="N164" s="264" t="n"/>
      <c r="O164" s="264" t="n"/>
      <c r="P164" s="264" t="n"/>
      <c r="Q164" s="264" t="n"/>
      <c r="R164" s="264" t="n"/>
      <c r="S164" s="264" t="n"/>
      <c r="T164" s="264" t="n"/>
      <c r="U164" s="264" t="n"/>
      <c r="V164" s="264" t="n"/>
      <c r="W164" s="264" t="n"/>
      <c r="X164" s="264" t="n"/>
      <c r="Y164" s="264" t="n"/>
    </row>
    <row r="165" ht="12.75" customHeight="1">
      <c r="A165" s="264" t="n"/>
      <c r="B165" s="265" t="n">
        <v>66</v>
      </c>
      <c r="C165" s="265" t="inlineStr">
        <is>
          <t>CONTROLLER ASSY, EPS</t>
        </is>
      </c>
      <c r="D165" s="264" t="n"/>
      <c r="E165" s="266" t="n"/>
      <c r="F165" s="267" t="n">
        <v>5904.5</v>
      </c>
      <c r="G165" s="267" t="inlineStr">
        <is>
          <t>N.A.</t>
        </is>
      </c>
      <c r="H165" s="267" t="n"/>
      <c r="I165" s="267" t="n"/>
      <c r="J165" s="264" t="n"/>
      <c r="K165" s="268" t="n"/>
      <c r="L165" s="264" t="n"/>
      <c r="M165" s="264" t="n"/>
      <c r="N165" s="264" t="n"/>
      <c r="O165" s="264" t="n"/>
      <c r="P165" s="264" t="n"/>
      <c r="Q165" s="264" t="n"/>
      <c r="R165" s="264" t="n"/>
      <c r="S165" s="264" t="n"/>
      <c r="T165" s="264" t="n"/>
      <c r="U165" s="264" t="n"/>
      <c r="V165" s="264" t="n"/>
      <c r="W165" s="264" t="n"/>
      <c r="X165" s="264" t="n"/>
      <c r="Y165" s="264" t="n"/>
    </row>
    <row r="166" ht="12.75" customHeight="1">
      <c r="A166" s="264" t="n"/>
      <c r="B166" s="265" t="n">
        <v>67</v>
      </c>
      <c r="C166" s="265" t="inlineStr">
        <is>
          <t>HOSE ASSY, FR WASHER</t>
        </is>
      </c>
      <c r="D166" s="264" t="n"/>
      <c r="E166" s="266" t="n"/>
      <c r="F166" s="267" t="n">
        <v>216.5</v>
      </c>
      <c r="G166" s="267" t="inlineStr">
        <is>
          <t>N.A.</t>
        </is>
      </c>
      <c r="H166" s="267" t="n"/>
      <c r="I166" s="267" t="n"/>
      <c r="J166" s="264" t="n"/>
      <c r="K166" s="268" t="n"/>
      <c r="L166" s="264" t="n"/>
      <c r="M166" s="264" t="n"/>
      <c r="N166" s="264" t="n"/>
      <c r="O166" s="264" t="n"/>
      <c r="P166" s="264" t="n"/>
      <c r="Q166" s="264" t="n"/>
      <c r="R166" s="264" t="n"/>
      <c r="S166" s="264" t="n"/>
      <c r="T166" s="264" t="n"/>
      <c r="U166" s="264" t="n"/>
      <c r="V166" s="264" t="n"/>
      <c r="W166" s="264" t="n"/>
      <c r="X166" s="264" t="n"/>
      <c r="Y166" s="264" t="n"/>
    </row>
    <row r="167" ht="12.75" customHeight="1">
      <c r="A167" s="264" t="n"/>
      <c r="B167" s="265" t="n">
        <v>68</v>
      </c>
      <c r="C167" s="265" t="inlineStr">
        <is>
          <t>CONTROLLER ASSYA/B</t>
        </is>
      </c>
      <c r="D167" s="264" t="n"/>
      <c r="E167" s="266" t="n"/>
      <c r="F167" s="267" t="n">
        <v>3050</v>
      </c>
      <c r="G167" s="267" t="inlineStr">
        <is>
          <t>N.A.</t>
        </is>
      </c>
      <c r="H167" s="267" t="n"/>
      <c r="I167" s="267" t="n"/>
      <c r="J167" s="264" t="n"/>
      <c r="K167" s="268" t="n"/>
      <c r="L167" s="264" t="n"/>
      <c r="M167" s="264" t="n"/>
      <c r="N167" s="264" t="n"/>
      <c r="O167" s="264" t="n"/>
      <c r="P167" s="264" t="n"/>
      <c r="Q167" s="264" t="n"/>
      <c r="R167" s="264" t="n"/>
      <c r="S167" s="264" t="n"/>
      <c r="T167" s="264" t="n"/>
      <c r="U167" s="264" t="n"/>
      <c r="V167" s="264" t="n"/>
      <c r="W167" s="264" t="n"/>
      <c r="X167" s="264" t="n"/>
      <c r="Y167" s="264" t="n"/>
    </row>
    <row r="168" ht="12.75" customHeight="1">
      <c r="A168" s="264" t="n"/>
      <c r="B168" s="265" t="n">
        <v>69</v>
      </c>
      <c r="C168" s="265" t="inlineStr">
        <is>
          <t>SENSOR ASSY, FORWARD</t>
        </is>
      </c>
      <c r="D168" s="264" t="n"/>
      <c r="E168" s="266" t="n"/>
      <c r="F168" s="267" t="n">
        <v>655</v>
      </c>
      <c r="G168" s="267" t="inlineStr">
        <is>
          <t>N.A.</t>
        </is>
      </c>
      <c r="H168" s="267" t="n"/>
      <c r="I168" s="267" t="n"/>
      <c r="J168" s="264" t="n"/>
      <c r="K168" s="268" t="n"/>
      <c r="L168" s="264" t="n"/>
      <c r="M168" s="264" t="n"/>
      <c r="N168" s="264" t="n"/>
      <c r="O168" s="264" t="n"/>
      <c r="P168" s="264" t="n"/>
      <c r="Q168" s="264" t="n"/>
      <c r="R168" s="264" t="n"/>
      <c r="S168" s="264" t="n"/>
      <c r="T168" s="264" t="n"/>
      <c r="U168" s="264" t="n"/>
      <c r="V168" s="264" t="n"/>
      <c r="W168" s="264" t="n"/>
      <c r="X168" s="264" t="n"/>
      <c r="Y168" s="264" t="n"/>
    </row>
    <row r="169" ht="12.75" customHeight="1">
      <c r="A169" s="264" t="n"/>
      <c r="B169" s="265" t="n">
        <v>70</v>
      </c>
      <c r="C169" s="265" t="inlineStr">
        <is>
          <t>STRUT ASSY, FRONT SPNSN RH</t>
        </is>
      </c>
      <c r="D169" s="264" t="n"/>
      <c r="E169" s="266" t="n"/>
      <c r="F169" s="267" t="n">
        <v>1581</v>
      </c>
      <c r="G169" s="267" t="inlineStr">
        <is>
          <t>N.A.</t>
        </is>
      </c>
      <c r="H169" s="267" t="n"/>
      <c r="I169" s="267" t="n"/>
      <c r="J169" s="264" t="n"/>
      <c r="K169" s="268" t="n"/>
      <c r="L169" s="264" t="n"/>
      <c r="M169" s="264" t="n"/>
      <c r="N169" s="264" t="n"/>
      <c r="O169" s="264" t="n"/>
      <c r="P169" s="264" t="n"/>
      <c r="Q169" s="264" t="n"/>
      <c r="R169" s="264" t="n"/>
      <c r="S169" s="264" t="n"/>
      <c r="T169" s="264" t="n"/>
      <c r="U169" s="264" t="n"/>
      <c r="V169" s="264" t="n"/>
      <c r="W169" s="264" t="n"/>
      <c r="X169" s="264" t="n"/>
      <c r="Y169" s="264" t="n"/>
    </row>
    <row r="170" ht="12.75" customHeight="1">
      <c r="A170" s="264" t="n"/>
      <c r="B170" s="265" t="n">
        <v>71</v>
      </c>
      <c r="C170" s="265" t="inlineStr">
        <is>
          <t>STRUT ASSY, FRONT SPNSN LH</t>
        </is>
      </c>
      <c r="D170" s="264" t="n"/>
      <c r="E170" s="266" t="n"/>
      <c r="F170" s="267" t="n">
        <v>1581</v>
      </c>
      <c r="G170" s="267" t="inlineStr">
        <is>
          <t>N.A.</t>
        </is>
      </c>
      <c r="H170" s="267" t="n"/>
      <c r="I170" s="267" t="n"/>
      <c r="J170" s="264" t="n"/>
      <c r="K170" s="268" t="n"/>
      <c r="L170" s="264" t="n"/>
      <c r="M170" s="264" t="n"/>
      <c r="N170" s="264" t="n"/>
      <c r="O170" s="264" t="n"/>
      <c r="P170" s="264" t="n"/>
      <c r="Q170" s="264" t="n"/>
      <c r="R170" s="264" t="n"/>
      <c r="S170" s="264" t="n"/>
      <c r="T170" s="264" t="n"/>
      <c r="U170" s="264" t="n"/>
      <c r="V170" s="264" t="n"/>
      <c r="W170" s="264" t="n"/>
      <c r="X170" s="264" t="n"/>
      <c r="Y170" s="264" t="n"/>
    </row>
    <row r="171" ht="12.75" customHeight="1">
      <c r="A171" s="264" t="n"/>
      <c r="B171" s="265" t="n">
        <v>72</v>
      </c>
      <c r="C171" s="265" t="inlineStr">
        <is>
          <t>CAP, STRUT ROD</t>
        </is>
      </c>
      <c r="D171" s="264" t="n"/>
      <c r="E171" s="266" t="n"/>
      <c r="F171" s="267" t="n">
        <v>112</v>
      </c>
      <c r="G171" s="267" t="inlineStr">
        <is>
          <t>N.A.</t>
        </is>
      </c>
      <c r="H171" s="267" t="n"/>
      <c r="I171" s="267" t="n"/>
      <c r="J171" s="264" t="n"/>
      <c r="K171" s="268" t="n"/>
      <c r="L171" s="264" t="n"/>
      <c r="M171" s="264" t="n"/>
      <c r="N171" s="264" t="n"/>
      <c r="O171" s="264" t="n"/>
      <c r="P171" s="264" t="n"/>
      <c r="Q171" s="264" t="n"/>
      <c r="R171" s="264" t="n"/>
      <c r="S171" s="264" t="n"/>
      <c r="T171" s="264" t="n"/>
      <c r="U171" s="264" t="n"/>
      <c r="V171" s="264" t="n"/>
      <c r="W171" s="264" t="n"/>
      <c r="X171" s="264" t="n"/>
      <c r="Y171" s="264" t="n"/>
    </row>
    <row r="172" ht="12.75" customHeight="1">
      <c r="A172" s="264" t="n"/>
      <c r="B172" s="265" t="n">
        <v>73</v>
      </c>
      <c r="C172" s="265" t="inlineStr">
        <is>
          <t>BAR, FRONT STABILIZER</t>
        </is>
      </c>
      <c r="D172" s="264" t="n"/>
      <c r="E172" s="266" t="n"/>
      <c r="F172" s="267" t="n">
        <v>1091.5</v>
      </c>
      <c r="G172" s="267" t="inlineStr">
        <is>
          <t>N.A.</t>
        </is>
      </c>
      <c r="H172" s="267" t="n"/>
      <c r="I172" s="267" t="n"/>
      <c r="J172" s="264" t="n"/>
      <c r="K172" s="268" t="n"/>
      <c r="L172" s="264" t="n"/>
      <c r="M172" s="264" t="n"/>
      <c r="N172" s="264" t="n"/>
      <c r="O172" s="264" t="n"/>
      <c r="P172" s="264" t="n"/>
      <c r="Q172" s="264" t="n"/>
      <c r="R172" s="264" t="n"/>
      <c r="S172" s="264" t="n"/>
      <c r="T172" s="264" t="n"/>
      <c r="U172" s="264" t="n"/>
      <c r="V172" s="264" t="n"/>
      <c r="W172" s="264" t="n"/>
      <c r="X172" s="264" t="n"/>
      <c r="Y172" s="264" t="n"/>
    </row>
    <row r="173">
      <c r="A173" s="264" t="n"/>
      <c r="B173" s="265" t="n">
        <v>74</v>
      </c>
      <c r="C173" s="265" t="inlineStr">
        <is>
          <t>JOINT COMP, FR STABILIZER BAR</t>
        </is>
      </c>
      <c r="D173" s="264" t="n"/>
      <c r="E173" s="266" t="n"/>
      <c r="F173" s="267" t="n">
        <v>1032</v>
      </c>
      <c r="G173" s="267" t="inlineStr">
        <is>
          <t>N.A.</t>
        </is>
      </c>
      <c r="H173" s="267" t="n"/>
      <c r="I173" s="267" t="n"/>
      <c r="J173" s="264" t="n"/>
      <c r="K173" s="268" t="n"/>
      <c r="L173" s="264" t="n"/>
      <c r="M173" s="264" t="n"/>
      <c r="N173" s="264" t="n"/>
      <c r="O173" s="264" t="n"/>
      <c r="P173" s="264" t="n"/>
      <c r="Q173" s="264" t="n"/>
      <c r="R173" s="264" t="n"/>
      <c r="S173" s="264" t="n"/>
      <c r="T173" s="264" t="n"/>
      <c r="U173" s="264" t="n"/>
      <c r="V173" s="264" t="n"/>
      <c r="W173" s="264" t="n"/>
      <c r="X173" s="264" t="n"/>
      <c r="Y173" s="264" t="n"/>
    </row>
    <row r="174">
      <c r="A174" s="264" t="n"/>
      <c r="B174" s="265" t="n">
        <v>75</v>
      </c>
      <c r="C174" s="265" t="inlineStr">
        <is>
          <t>185/65R15 ECOPIA EP150 (BS)</t>
        </is>
      </c>
      <c r="D174" s="264" t="n"/>
      <c r="E174" s="266" t="n"/>
      <c r="F174" s="267" t="n">
        <v>6784</v>
      </c>
      <c r="G174" s="267" t="inlineStr">
        <is>
          <t>N.A.</t>
        </is>
      </c>
      <c r="H174" s="267" t="n"/>
      <c r="I174" s="267" t="n"/>
      <c r="J174" s="264" t="n"/>
      <c r="K174" s="268" t="n"/>
      <c r="L174" s="264" t="n"/>
      <c r="M174" s="264" t="n"/>
      <c r="N174" s="264" t="n"/>
      <c r="O174" s="264" t="n"/>
      <c r="P174" s="264" t="n"/>
      <c r="Q174" s="264" t="n"/>
      <c r="R174" s="264" t="n"/>
      <c r="S174" s="264" t="n"/>
      <c r="T174" s="264" t="n"/>
      <c r="U174" s="264" t="n"/>
      <c r="V174" s="264" t="n"/>
      <c r="W174" s="264" t="n"/>
      <c r="X174" s="264" t="n"/>
      <c r="Y174" s="264" t="n"/>
    </row>
    <row r="175">
      <c r="A175" s="264" t="n"/>
      <c r="B175" s="265" t="n">
        <v>76</v>
      </c>
      <c r="C175" s="265" t="inlineStr">
        <is>
          <t>VALVE, TIRE (TR414)</t>
        </is>
      </c>
      <c r="D175" s="264" t="n"/>
      <c r="E175" s="266" t="n"/>
      <c r="F175" s="267" t="n">
        <v>66</v>
      </c>
      <c r="G175" s="267" t="inlineStr">
        <is>
          <t>N.A.</t>
        </is>
      </c>
      <c r="H175" s="267" t="n"/>
      <c r="I175" s="267" t="n"/>
      <c r="J175" s="264" t="n"/>
      <c r="K175" s="268" t="n"/>
      <c r="L175" s="264" t="n"/>
      <c r="M175" s="264" t="n"/>
      <c r="N175" s="264" t="n"/>
      <c r="O175" s="264" t="n"/>
      <c r="P175" s="264" t="n"/>
      <c r="Q175" s="264" t="n"/>
      <c r="R175" s="264" t="n"/>
      <c r="S175" s="264" t="n"/>
      <c r="T175" s="264" t="n"/>
      <c r="U175" s="264" t="n"/>
      <c r="V175" s="264" t="n"/>
      <c r="W175" s="264" t="n"/>
      <c r="X175" s="264" t="n"/>
      <c r="Y175" s="264" t="n"/>
    </row>
    <row r="176">
      <c r="A176" s="264" t="n"/>
      <c r="B176" s="265" t="n">
        <v>77</v>
      </c>
      <c r="C176" s="265" t="inlineStr">
        <is>
          <t>WHEEL COMP</t>
        </is>
      </c>
      <c r="D176" s="264" t="n"/>
      <c r="E176" s="266" t="n"/>
      <c r="F176" s="267" t="n">
        <v>3125</v>
      </c>
      <c r="G176" s="267" t="inlineStr">
        <is>
          <t>N.A.</t>
        </is>
      </c>
      <c r="H176" s="267" t="n"/>
      <c r="I176" s="267" t="n"/>
      <c r="J176" s="264" t="n"/>
      <c r="K176" s="268" t="n"/>
      <c r="L176" s="264" t="n"/>
      <c r="M176" s="264" t="n"/>
      <c r="N176" s="264" t="n"/>
      <c r="O176" s="264" t="n"/>
      <c r="P176" s="264" t="n"/>
      <c r="Q176" s="264" t="n"/>
      <c r="R176" s="264" t="n"/>
      <c r="S176" s="264" t="n"/>
      <c r="T176" s="264" t="n"/>
      <c r="U176" s="264" t="n"/>
      <c r="V176" s="264" t="n"/>
      <c r="W176" s="264" t="n"/>
      <c r="X176" s="264" t="n"/>
      <c r="Y176" s="264" t="n"/>
    </row>
    <row r="177">
      <c r="A177" s="264" t="n"/>
      <c r="B177" s="265" t="n">
        <v>78</v>
      </c>
      <c r="C177" s="265" t="inlineStr">
        <is>
          <t>HUB ASSY FRONT WHEEL</t>
        </is>
      </c>
      <c r="D177" s="264" t="n"/>
      <c r="E177" s="266" t="n"/>
      <c r="F177" s="267" t="n">
        <v>2655</v>
      </c>
      <c r="G177" s="267" t="inlineStr">
        <is>
          <t>N.A.</t>
        </is>
      </c>
      <c r="H177" s="267" t="n"/>
      <c r="I177" s="267" t="n"/>
      <c r="J177" s="264" t="n"/>
      <c r="K177" s="268" t="n"/>
      <c r="L177" s="264" t="n"/>
      <c r="M177" s="264" t="n"/>
      <c r="N177" s="264" t="n"/>
      <c r="O177" s="264" t="n"/>
      <c r="P177" s="264" t="n"/>
      <c r="Q177" s="264" t="n"/>
      <c r="R177" s="264" t="n"/>
      <c r="S177" s="264" t="n"/>
      <c r="T177" s="264" t="n"/>
      <c r="U177" s="264" t="n"/>
      <c r="V177" s="264" t="n"/>
      <c r="W177" s="264" t="n"/>
      <c r="X177" s="264" t="n"/>
      <c r="Y177" s="264" t="n"/>
    </row>
    <row r="178" ht="12" customHeight="1">
      <c r="A178" s="264" t="n"/>
      <c r="B178" s="265" t="n">
        <v>79</v>
      </c>
      <c r="C178" s="265" t="inlineStr">
        <is>
          <t>SHAFT ASSY, FRONT DRIVE,R</t>
        </is>
      </c>
      <c r="D178" s="264" t="n"/>
      <c r="E178" s="266" t="n"/>
      <c r="F178" s="267" t="n">
        <v>6821.5</v>
      </c>
      <c r="G178" s="267" t="inlineStr">
        <is>
          <t>N.A.</t>
        </is>
      </c>
      <c r="H178" s="267" t="n"/>
      <c r="I178" s="267" t="n"/>
      <c r="J178" s="264" t="n"/>
      <c r="K178" s="268" t="n"/>
      <c r="L178" s="264" t="n"/>
      <c r="M178" s="264" t="n"/>
      <c r="N178" s="264" t="n"/>
      <c r="O178" s="264" t="n"/>
      <c r="P178" s="264" t="n"/>
      <c r="Q178" s="264" t="n"/>
      <c r="R178" s="264" t="n"/>
      <c r="S178" s="264" t="n"/>
      <c r="T178" s="264" t="n"/>
      <c r="U178" s="264" t="n"/>
      <c r="V178" s="264" t="n"/>
      <c r="W178" s="264" t="n"/>
      <c r="X178" s="264" t="n"/>
      <c r="Y178" s="264" t="n"/>
    </row>
    <row r="179">
      <c r="A179" s="264" t="n"/>
      <c r="B179" s="265" t="n">
        <v>80</v>
      </c>
      <c r="C179" s="265" t="inlineStr">
        <is>
          <t>SHAFT ASSY, FRONT DRIVE,L</t>
        </is>
      </c>
      <c r="D179" s="264" t="n"/>
      <c r="E179" s="266" t="n"/>
      <c r="F179" s="267" t="n">
        <v>6683.5</v>
      </c>
      <c r="G179" s="267" t="inlineStr">
        <is>
          <t>N.A.</t>
        </is>
      </c>
      <c r="H179" s="267" t="n"/>
      <c r="I179" s="267" t="n"/>
      <c r="J179" s="264" t="n"/>
      <c r="K179" s="268" t="n"/>
      <c r="L179" s="264" t="n"/>
      <c r="M179" s="264" t="n"/>
      <c r="N179" s="264" t="n"/>
      <c r="O179" s="264" t="n"/>
      <c r="P179" s="264" t="n"/>
      <c r="Q179" s="264" t="n"/>
      <c r="R179" s="264" t="n"/>
      <c r="S179" s="264" t="n"/>
      <c r="T179" s="264" t="n"/>
      <c r="U179" s="264" t="n"/>
      <c r="V179" s="264" t="n"/>
      <c r="W179" s="264" t="n"/>
      <c r="X179" s="264" t="n"/>
      <c r="Y179" s="264" t="n"/>
    </row>
    <row r="180" ht="12.75" customHeight="1">
      <c r="A180" s="264" t="n"/>
      <c r="B180" s="265" t="n">
        <v>81</v>
      </c>
      <c r="C180" s="265" t="inlineStr">
        <is>
          <t>KNUCKLE, STEERING,R</t>
        </is>
      </c>
      <c r="D180" s="264" t="n"/>
      <c r="E180" s="266" t="n"/>
      <c r="F180" s="267" t="n">
        <v>1476.5</v>
      </c>
      <c r="G180" s="267" t="inlineStr">
        <is>
          <t>N.A.</t>
        </is>
      </c>
      <c r="H180" s="267" t="n"/>
      <c r="I180" s="267" t="n"/>
      <c r="J180" s="264" t="n"/>
      <c r="K180" s="268" t="n"/>
      <c r="L180" s="264" t="n"/>
      <c r="M180" s="264" t="n"/>
      <c r="N180" s="264" t="n"/>
      <c r="O180" s="264" t="n"/>
      <c r="P180" s="264" t="n"/>
      <c r="Q180" s="264" t="n"/>
      <c r="R180" s="264" t="n"/>
      <c r="S180" s="264" t="n"/>
      <c r="T180" s="264" t="n"/>
      <c r="U180" s="264" t="n"/>
      <c r="V180" s="264" t="n"/>
      <c r="W180" s="264" t="n"/>
      <c r="X180" s="264" t="n"/>
      <c r="Y180" s="264" t="n"/>
    </row>
    <row r="181">
      <c r="A181" s="264" t="n"/>
      <c r="B181" s="265" t="n">
        <v>82</v>
      </c>
      <c r="C181" s="265" t="inlineStr">
        <is>
          <t>KNUCKLE, STEERING,L</t>
        </is>
      </c>
      <c r="D181" s="264" t="n"/>
      <c r="E181" s="266" t="n"/>
      <c r="F181" s="267" t="n">
        <v>1476.5</v>
      </c>
      <c r="G181" s="267" t="inlineStr">
        <is>
          <t>N.A.</t>
        </is>
      </c>
      <c r="H181" s="267" t="n"/>
      <c r="I181" s="267" t="n"/>
      <c r="J181" s="264" t="n"/>
      <c r="K181" s="268" t="n"/>
      <c r="L181" s="264" t="n"/>
      <c r="M181" s="264" t="n"/>
      <c r="N181" s="264" t="n"/>
      <c r="O181" s="264" t="n"/>
      <c r="P181" s="264" t="n"/>
      <c r="Q181" s="264" t="n"/>
      <c r="R181" s="264" t="n"/>
      <c r="S181" s="264" t="n"/>
      <c r="T181" s="264" t="n"/>
      <c r="U181" s="264" t="n"/>
      <c r="V181" s="264" t="n"/>
      <c r="W181" s="264" t="n"/>
      <c r="X181" s="264" t="n"/>
      <c r="Y181" s="264" t="n"/>
    </row>
    <row r="182">
      <c r="A182" s="264" t="n"/>
      <c r="B182" s="265" t="n">
        <v>83</v>
      </c>
      <c r="C182" s="265" t="inlineStr">
        <is>
          <t>ARM ASSY, FRONT SUSPENSION RH</t>
        </is>
      </c>
      <c r="D182" s="264" t="n"/>
      <c r="E182" s="266" t="n"/>
      <c r="F182" s="267" t="n">
        <v>1613</v>
      </c>
      <c r="G182" s="267" t="inlineStr">
        <is>
          <t>N.A.</t>
        </is>
      </c>
      <c r="H182" s="267" t="n"/>
      <c r="I182" s="267" t="n"/>
      <c r="J182" s="264" t="n"/>
      <c r="K182" s="268" t="n"/>
      <c r="L182" s="264" t="n"/>
      <c r="M182" s="264" t="n"/>
      <c r="N182" s="264" t="n"/>
      <c r="O182" s="264" t="n"/>
      <c r="P182" s="264" t="n"/>
      <c r="Q182" s="264" t="n"/>
      <c r="R182" s="264" t="n"/>
      <c r="S182" s="264" t="n"/>
      <c r="T182" s="264" t="n"/>
      <c r="U182" s="264" t="n"/>
      <c r="V182" s="264" t="n"/>
      <c r="W182" s="264" t="n"/>
      <c r="X182" s="264" t="n"/>
      <c r="Y182" s="264" t="n"/>
    </row>
    <row r="183" ht="60" customHeight="1">
      <c r="A183" s="264" t="n"/>
      <c r="B183" s="265" t="n">
        <v>84</v>
      </c>
      <c r="C183" s="265" t="inlineStr">
        <is>
          <t>ARM ASSY, FRONT SUSPENSION LH</t>
        </is>
      </c>
      <c r="D183" s="264" t="n"/>
      <c r="E183" s="266" t="n"/>
      <c r="F183" s="267" t="n">
        <v>1613</v>
      </c>
      <c r="G183" s="267" t="inlineStr">
        <is>
          <t>N.A.</t>
        </is>
      </c>
      <c r="H183" s="267" t="n"/>
      <c r="I183" s="267" t="n"/>
      <c r="J183" s="264" t="n"/>
      <c r="K183" s="268" t="n"/>
      <c r="L183" s="264" t="n"/>
      <c r="M183" s="264" t="n"/>
      <c r="N183" s="264" t="n"/>
      <c r="O183" s="264" t="n"/>
      <c r="P183" s="264" t="n"/>
      <c r="Q183" s="264" t="n"/>
      <c r="R183" s="264" t="n"/>
      <c r="S183" s="264" t="n"/>
      <c r="T183" s="264" t="n"/>
      <c r="U183" s="264" t="n"/>
      <c r="V183" s="264" t="n"/>
      <c r="W183" s="264" t="n"/>
      <c r="X183" s="264" t="n"/>
      <c r="Y183" s="264" t="n"/>
    </row>
    <row r="184">
      <c r="A184" s="264" t="n"/>
      <c r="B184" s="265" t="n">
        <v>85</v>
      </c>
      <c r="C184" s="265" t="inlineStr">
        <is>
          <t>FRAME COMP, FRONT SUSPENSION</t>
        </is>
      </c>
      <c r="D184" s="264" t="n"/>
      <c r="E184" s="266" t="n"/>
      <c r="F184" s="267" t="n">
        <v>6042.5</v>
      </c>
      <c r="G184" s="267" t="inlineStr">
        <is>
          <t>N.A.</t>
        </is>
      </c>
      <c r="H184" s="267" t="n"/>
      <c r="I184" s="267" t="n"/>
      <c r="J184" s="264" t="n"/>
      <c r="K184" s="268" t="n"/>
      <c r="L184" s="264" t="n"/>
      <c r="M184" s="264" t="n"/>
      <c r="N184" s="264" t="n"/>
      <c r="O184" s="264" t="n"/>
      <c r="P184" s="264" t="n"/>
      <c r="Q184" s="264" t="n"/>
      <c r="R184" s="264" t="n"/>
      <c r="S184" s="264" t="n"/>
      <c r="T184" s="264" t="n"/>
      <c r="U184" s="264" t="n"/>
      <c r="V184" s="264" t="n"/>
      <c r="W184" s="264" t="n"/>
      <c r="X184" s="264" t="n"/>
      <c r="Y184" s="264" t="n"/>
    </row>
    <row r="185">
      <c r="A185" s="264" t="n"/>
      <c r="B185" s="265" t="n">
        <v>86</v>
      </c>
      <c r="C185" s="265" t="inlineStr">
        <is>
          <t>BOLT SPNSN ARM FR BUSHIN</t>
        </is>
      </c>
      <c r="D185" s="264" t="n"/>
      <c r="E185" s="266" t="n"/>
      <c r="F185" s="267" t="n">
        <v>1080</v>
      </c>
      <c r="G185" s="267" t="inlineStr">
        <is>
          <t>N.A.</t>
        </is>
      </c>
      <c r="H185" s="267" t="n"/>
      <c r="I185" s="267" t="n"/>
      <c r="J185" s="264" t="n"/>
      <c r="K185" s="268" t="n"/>
      <c r="L185" s="264" t="n"/>
      <c r="M185" s="264" t="n"/>
      <c r="N185" s="264" t="n"/>
      <c r="O185" s="264" t="n"/>
      <c r="P185" s="264" t="n"/>
      <c r="Q185" s="264" t="n"/>
      <c r="R185" s="264" t="n"/>
      <c r="S185" s="264" t="n"/>
      <c r="T185" s="264" t="n"/>
      <c r="U185" s="264" t="n"/>
      <c r="V185" s="264" t="n"/>
      <c r="W185" s="264" t="n"/>
      <c r="X185" s="264" t="n"/>
      <c r="Y185" s="264" t="n"/>
    </row>
    <row r="186">
      <c r="A186" s="264" t="n"/>
      <c r="B186" s="265" t="n">
        <v>87</v>
      </c>
      <c r="C186" s="265" t="inlineStr">
        <is>
          <t>BEAM ASSY REAR SPNSN</t>
        </is>
      </c>
      <c r="D186" s="264" t="n"/>
      <c r="E186" s="266" t="n"/>
      <c r="F186" s="267" t="n">
        <v>9057</v>
      </c>
      <c r="G186" s="267" t="inlineStr">
        <is>
          <t>N.A.</t>
        </is>
      </c>
      <c r="H186" s="267" t="n"/>
      <c r="I186" s="267" t="n"/>
      <c r="J186" s="264" t="n"/>
      <c r="K186" s="268" t="n"/>
      <c r="L186" s="264" t="n"/>
      <c r="M186" s="264" t="n"/>
      <c r="N186" s="264" t="n"/>
      <c r="O186" s="264" t="n"/>
      <c r="P186" s="264" t="n"/>
      <c r="Q186" s="264" t="n"/>
      <c r="R186" s="264" t="n"/>
      <c r="S186" s="264" t="n"/>
      <c r="T186" s="264" t="n"/>
      <c r="U186" s="264" t="n"/>
      <c r="V186" s="264" t="n"/>
      <c r="W186" s="264" t="n"/>
      <c r="X186" s="264" t="n"/>
      <c r="Y186" s="264" t="n"/>
    </row>
    <row r="187">
      <c r="A187" s="264" t="n"/>
      <c r="B187" s="265" t="n">
        <v>88</v>
      </c>
      <c r="C187" s="265" t="inlineStr">
        <is>
          <t>WHEEL S/ASSY, STEERING</t>
        </is>
      </c>
      <c r="D187" s="264" t="n"/>
      <c r="E187" s="266" t="n"/>
      <c r="F187" s="267" t="n">
        <v>2256.5</v>
      </c>
      <c r="G187" s="267" t="inlineStr">
        <is>
          <t>N.A.</t>
        </is>
      </c>
      <c r="H187" s="267" t="n"/>
      <c r="I187" s="267" t="n"/>
      <c r="J187" s="264" t="n"/>
      <c r="K187" s="268" t="n"/>
      <c r="L187" s="264" t="n"/>
      <c r="M187" s="264" t="n"/>
      <c r="N187" s="264" t="n"/>
      <c r="O187" s="264" t="n"/>
      <c r="P187" s="264" t="n"/>
      <c r="Q187" s="264" t="n"/>
      <c r="R187" s="264" t="n"/>
      <c r="S187" s="264" t="n"/>
      <c r="T187" s="264" t="n"/>
      <c r="U187" s="264" t="n"/>
      <c r="V187" s="264" t="n"/>
      <c r="W187" s="264" t="n"/>
      <c r="X187" s="264" t="n"/>
      <c r="Y187" s="264" t="n"/>
    </row>
    <row r="188" ht="10.5" customHeight="1">
      <c r="A188" s="264" t="n"/>
      <c r="B188" s="265" t="n">
        <v>89</v>
      </c>
      <c r="C188" s="265" t="inlineStr">
        <is>
          <t>MODULE ASSY, AIRBAG</t>
        </is>
      </c>
      <c r="D188" s="264" t="n"/>
      <c r="E188" s="266" t="n"/>
      <c r="F188" s="267" t="n">
        <v>4305</v>
      </c>
      <c r="G188" s="267" t="inlineStr">
        <is>
          <t>N.A.</t>
        </is>
      </c>
      <c r="H188" s="267" t="n"/>
      <c r="I188" s="267" t="n"/>
      <c r="J188" s="264" t="n"/>
      <c r="K188" s="268" t="n"/>
      <c r="L188" s="264" t="n"/>
      <c r="M188" s="264" t="n"/>
      <c r="N188" s="264" t="n"/>
      <c r="O188" s="264" t="n"/>
      <c r="P188" s="264" t="n"/>
      <c r="Q188" s="264" t="n"/>
      <c r="R188" s="264" t="n"/>
      <c r="S188" s="264" t="n"/>
      <c r="T188" s="264" t="n"/>
      <c r="U188" s="264" t="n"/>
      <c r="V188" s="264" t="n"/>
      <c r="W188" s="264" t="n"/>
      <c r="X188" s="264" t="n"/>
      <c r="Y188" s="264" t="n"/>
    </row>
    <row r="189">
      <c r="A189" s="264" t="n"/>
      <c r="B189" s="265" t="n">
        <v>90</v>
      </c>
      <c r="C189" s="265" t="inlineStr">
        <is>
          <t>COLUMN ASSY, COLPS STEERING</t>
        </is>
      </c>
      <c r="D189" s="264" t="n"/>
      <c r="E189" s="266" t="n"/>
      <c r="F189" s="267" t="n">
        <v>21940.5</v>
      </c>
      <c r="G189" s="267" t="inlineStr">
        <is>
          <t>N.A.</t>
        </is>
      </c>
      <c r="H189" s="267" t="n"/>
      <c r="I189" s="267" t="n"/>
      <c r="J189" s="264" t="n"/>
      <c r="K189" s="268" t="n"/>
      <c r="L189" s="264" t="n"/>
      <c r="M189" s="264" t="n"/>
      <c r="N189" s="264" t="n"/>
      <c r="O189" s="264" t="n"/>
      <c r="P189" s="264" t="n"/>
      <c r="Q189" s="264" t="n"/>
      <c r="R189" s="264" t="n"/>
      <c r="S189" s="264" t="n"/>
      <c r="T189" s="264" t="n"/>
      <c r="U189" s="264" t="n"/>
      <c r="V189" s="264" t="n"/>
      <c r="W189" s="264" t="n"/>
      <c r="X189" s="264" t="n"/>
      <c r="Y189" s="264" t="n"/>
    </row>
    <row r="190">
      <c r="A190" s="264" t="n"/>
      <c r="B190" s="265" t="n">
        <v>91</v>
      </c>
      <c r="C190" s="265" t="inlineStr">
        <is>
          <t>COVER ASSY, STEERING COLUMN</t>
        </is>
      </c>
      <c r="D190" s="264" t="n"/>
      <c r="E190" s="266" t="n"/>
      <c r="F190" s="267" t="n">
        <v>239.5</v>
      </c>
      <c r="G190" s="267" t="inlineStr">
        <is>
          <t>N.A.</t>
        </is>
      </c>
      <c r="H190" s="267" t="n"/>
      <c r="I190" s="267" t="n"/>
      <c r="J190" s="264" t="n"/>
      <c r="K190" s="268" t="n"/>
      <c r="L190" s="264" t="n"/>
      <c r="M190" s="264" t="n"/>
      <c r="N190" s="264" t="n"/>
      <c r="O190" s="264" t="n"/>
      <c r="P190" s="264" t="n"/>
      <c r="Q190" s="264" t="n"/>
      <c r="R190" s="264" t="n"/>
      <c r="S190" s="264" t="n"/>
      <c r="T190" s="264" t="n"/>
      <c r="U190" s="264" t="n"/>
      <c r="V190" s="264" t="n"/>
      <c r="W190" s="264" t="n"/>
      <c r="X190" s="264" t="n"/>
      <c r="Y190" s="264" t="n"/>
    </row>
    <row r="191">
      <c r="A191" s="264" t="n"/>
      <c r="B191" s="265" t="n">
        <v>92</v>
      </c>
      <c r="C191" s="265" t="inlineStr">
        <is>
          <t>STEERING GEAR BOX ASSY</t>
        </is>
      </c>
      <c r="D191" s="264" t="n"/>
      <c r="E191" s="266" t="n"/>
      <c r="F191" s="267" t="n">
        <v>9435</v>
      </c>
      <c r="G191" s="267" t="inlineStr">
        <is>
          <t>N.A.</t>
        </is>
      </c>
      <c r="H191" s="267" t="n"/>
      <c r="I191" s="267" t="n"/>
      <c r="J191" s="264" t="n"/>
      <c r="K191" s="268" t="n"/>
      <c r="L191" s="264" t="n"/>
      <c r="M191" s="264" t="n"/>
      <c r="N191" s="264" t="n"/>
      <c r="O191" s="264" t="n"/>
      <c r="P191" s="264" t="n"/>
      <c r="Q191" s="264" t="n"/>
      <c r="R191" s="264" t="n"/>
      <c r="S191" s="264" t="n"/>
      <c r="T191" s="264" t="n"/>
      <c r="U191" s="264" t="n"/>
      <c r="V191" s="264" t="n"/>
      <c r="W191" s="264" t="n"/>
      <c r="X191" s="264" t="n"/>
      <c r="Y191" s="264" t="n"/>
    </row>
    <row r="192">
      <c r="A192" s="264" t="n"/>
      <c r="B192" s="265" t="n">
        <v>93</v>
      </c>
      <c r="C192" s="265" t="inlineStr">
        <is>
          <t>PEDAL ASSY, ACCELERATOR</t>
        </is>
      </c>
      <c r="D192" s="264" t="n"/>
      <c r="E192" s="266" t="n"/>
      <c r="F192" s="267" t="n">
        <v>1528</v>
      </c>
      <c r="G192" s="267" t="inlineStr">
        <is>
          <t>N.A.</t>
        </is>
      </c>
      <c r="H192" s="267" t="n"/>
      <c r="I192" s="267" t="n"/>
      <c r="J192" s="264" t="n"/>
      <c r="K192" s="268" t="n"/>
      <c r="L192" s="264" t="n"/>
      <c r="M192" s="264" t="n"/>
      <c r="N192" s="264" t="n"/>
      <c r="O192" s="264" t="n"/>
      <c r="P192" s="264" t="n"/>
      <c r="Q192" s="264" t="n"/>
      <c r="R192" s="264" t="n"/>
      <c r="S192" s="264" t="n"/>
      <c r="T192" s="264" t="n"/>
      <c r="U192" s="264" t="n"/>
      <c r="V192" s="264" t="n"/>
      <c r="W192" s="264" t="n"/>
      <c r="X192" s="264" t="n"/>
      <c r="Y192" s="264" t="n"/>
    </row>
    <row r="193">
      <c r="A193" s="264" t="n"/>
      <c r="B193" s="265" t="n">
        <v>94</v>
      </c>
      <c r="C193" s="265" t="inlineStr">
        <is>
          <t>PEDAL, BRAKE</t>
        </is>
      </c>
      <c r="D193" s="264" t="n"/>
      <c r="E193" s="266" t="n"/>
      <c r="F193" s="267" t="n">
        <v>193.5</v>
      </c>
      <c r="G193" s="267" t="inlineStr">
        <is>
          <t>N.A.</t>
        </is>
      </c>
      <c r="H193" s="267" t="n"/>
      <c r="I193" s="267" t="n"/>
      <c r="J193" s="264" t="n"/>
      <c r="K193" s="268" t="n"/>
      <c r="L193" s="264" t="n"/>
      <c r="M193" s="264" t="n"/>
      <c r="N193" s="264" t="n"/>
      <c r="O193" s="264" t="n"/>
      <c r="P193" s="264" t="n"/>
      <c r="Q193" s="264" t="n"/>
      <c r="R193" s="264" t="n"/>
      <c r="S193" s="264" t="n"/>
      <c r="T193" s="264" t="n"/>
      <c r="U193" s="264" t="n"/>
      <c r="V193" s="264" t="n"/>
      <c r="W193" s="264" t="n"/>
      <c r="X193" s="264" t="n"/>
      <c r="Y193" s="264" t="n"/>
    </row>
    <row r="194">
      <c r="A194" s="264" t="n"/>
      <c r="B194" s="265" t="n">
        <v>95</v>
      </c>
      <c r="C194" s="265" t="inlineStr">
        <is>
          <t>PEDAL, CLUTCH</t>
        </is>
      </c>
      <c r="D194" s="264" t="n"/>
      <c r="E194" s="266" t="n"/>
      <c r="F194" s="267" t="n">
        <v>193.5</v>
      </c>
      <c r="G194" s="267" t="inlineStr">
        <is>
          <t>N.A.</t>
        </is>
      </c>
      <c r="H194" s="267" t="n"/>
      <c r="I194" s="267" t="n"/>
      <c r="J194" s="264" t="n"/>
      <c r="K194" s="268" t="n"/>
      <c r="L194" s="264" t="n"/>
      <c r="M194" s="264" t="n"/>
      <c r="N194" s="264" t="n"/>
      <c r="O194" s="264" t="n"/>
      <c r="P194" s="264" t="n"/>
      <c r="Q194" s="264" t="n"/>
      <c r="R194" s="264" t="n"/>
      <c r="S194" s="264" t="n"/>
      <c r="T194" s="264" t="n"/>
      <c r="U194" s="264" t="n"/>
      <c r="V194" s="264" t="n"/>
      <c r="W194" s="264" t="n"/>
      <c r="X194" s="264" t="n"/>
      <c r="Y194" s="264" t="n"/>
    </row>
    <row r="195">
      <c r="A195" s="264" t="n"/>
      <c r="B195" s="265" t="n">
        <v>96</v>
      </c>
      <c r="C195" s="265" t="inlineStr">
        <is>
          <t>BOOSTER MASTER CYLINDER ASSY</t>
        </is>
      </c>
      <c r="D195" s="264" t="n"/>
      <c r="E195" s="266" t="n"/>
      <c r="F195" s="267" t="n">
        <v>4307</v>
      </c>
      <c r="G195" s="267" t="inlineStr">
        <is>
          <t>N.A.</t>
        </is>
      </c>
      <c r="H195" s="267" t="n"/>
      <c r="I195" s="267" t="n"/>
      <c r="J195" s="264" t="n"/>
      <c r="K195" s="268" t="n"/>
      <c r="L195" s="264" t="n"/>
      <c r="M195" s="264" t="n"/>
      <c r="N195" s="264" t="n"/>
      <c r="O195" s="264" t="n"/>
      <c r="P195" s="264" t="n"/>
      <c r="Q195" s="264" t="n"/>
      <c r="R195" s="264" t="n"/>
      <c r="S195" s="264" t="n"/>
      <c r="T195" s="264" t="n"/>
      <c r="U195" s="264" t="n"/>
      <c r="V195" s="264" t="n"/>
      <c r="W195" s="264" t="n"/>
      <c r="X195" s="264" t="n"/>
      <c r="Y195" s="264" t="n"/>
    </row>
    <row r="196">
      <c r="A196" s="264" t="n"/>
      <c r="B196" s="265" t="n">
        <v>97</v>
      </c>
      <c r="C196" s="265" t="inlineStr">
        <is>
          <t>HOSE, BRAKE VACUUM PIPE TO INTK</t>
        </is>
      </c>
      <c r="D196" s="264" t="n"/>
      <c r="E196" s="266" t="n"/>
      <c r="F196" s="267" t="n">
        <v>69</v>
      </c>
      <c r="G196" s="267" t="inlineStr">
        <is>
          <t>N.A.</t>
        </is>
      </c>
      <c r="H196" s="267" t="n"/>
      <c r="I196" s="267" t="n"/>
      <c r="J196" s="264" t="n"/>
      <c r="K196" s="268" t="n"/>
      <c r="L196" s="264" t="n"/>
      <c r="M196" s="264" t="n"/>
      <c r="N196" s="264" t="n"/>
      <c r="O196" s="264" t="n"/>
      <c r="P196" s="264" t="n"/>
      <c r="Q196" s="264" t="n"/>
      <c r="R196" s="264" t="n"/>
      <c r="S196" s="264" t="n"/>
      <c r="T196" s="264" t="n"/>
      <c r="U196" s="264" t="n"/>
      <c r="V196" s="264" t="n"/>
      <c r="W196" s="264" t="n"/>
      <c r="X196" s="264" t="n"/>
      <c r="Y196" s="264" t="n"/>
    </row>
    <row r="197">
      <c r="A197" s="264" t="n"/>
      <c r="B197" s="265" t="n">
        <v>98</v>
      </c>
      <c r="C197" s="265" t="inlineStr">
        <is>
          <t>CALIPER ASSY, FRONT BRAKE,R</t>
        </is>
      </c>
      <c r="D197" s="264" t="n"/>
      <c r="E197" s="266" t="n"/>
      <c r="F197" s="267" t="n">
        <v>3526</v>
      </c>
      <c r="G197" s="267" t="inlineStr">
        <is>
          <t>N.A.</t>
        </is>
      </c>
      <c r="H197" s="267" t="n"/>
      <c r="I197" s="267" t="n"/>
      <c r="J197" s="264" t="n"/>
      <c r="K197" s="268" t="n"/>
      <c r="L197" s="264" t="n"/>
      <c r="M197" s="264" t="n"/>
      <c r="N197" s="264" t="n"/>
      <c r="O197" s="264" t="n"/>
      <c r="P197" s="264" t="n"/>
      <c r="Q197" s="264" t="n"/>
      <c r="R197" s="264" t="n"/>
      <c r="S197" s="264" t="n"/>
      <c r="T197" s="264" t="n"/>
      <c r="U197" s="264" t="n"/>
      <c r="V197" s="264" t="n"/>
      <c r="W197" s="264" t="n"/>
      <c r="X197" s="264" t="n"/>
      <c r="Y197" s="264" t="n"/>
    </row>
    <row r="198">
      <c r="A198" s="264" t="n"/>
      <c r="B198" s="265" t="n">
        <v>99</v>
      </c>
      <c r="C198" s="265" t="inlineStr">
        <is>
          <t>ACTUATOR ASSY, ABS</t>
        </is>
      </c>
      <c r="D198" s="264" t="n"/>
      <c r="E198" s="266" t="n"/>
      <c r="F198" s="267" t="n">
        <v>17630.5</v>
      </c>
      <c r="G198" s="267" t="inlineStr">
        <is>
          <t>N.A.</t>
        </is>
      </c>
      <c r="H198" s="267" t="n"/>
      <c r="I198" s="267" t="n"/>
      <c r="J198" s="264" t="n"/>
      <c r="K198" s="268" t="n"/>
      <c r="L198" s="264" t="n"/>
      <c r="M198" s="264" t="n"/>
      <c r="N198" s="264" t="n"/>
      <c r="O198" s="264" t="n"/>
      <c r="P198" s="264" t="n"/>
      <c r="Q198" s="264" t="n"/>
      <c r="R198" s="264" t="n"/>
      <c r="S198" s="264" t="n"/>
      <c r="T198" s="264" t="n"/>
      <c r="U198" s="264" t="n"/>
      <c r="V198" s="264" t="n"/>
      <c r="W198" s="264" t="n"/>
      <c r="X198" s="264" t="n"/>
      <c r="Y198" s="264" t="n"/>
    </row>
    <row r="199" ht="12.75" customHeight="1">
      <c r="A199" s="264" t="n"/>
      <c r="B199" s="265" t="n">
        <v>100</v>
      </c>
      <c r="C199" s="265" t="inlineStr">
        <is>
          <t>SENSOR COMP, FR WHEEL,R</t>
        </is>
      </c>
      <c r="D199" s="264" t="n"/>
      <c r="E199" s="266" t="n"/>
      <c r="F199" s="267" t="n">
        <v>825</v>
      </c>
      <c r="G199" s="267" t="inlineStr">
        <is>
          <t>N.A.</t>
        </is>
      </c>
      <c r="H199" s="267" t="n"/>
      <c r="I199" s="267" t="n"/>
      <c r="J199" s="264" t="n"/>
      <c r="K199" s="268" t="n"/>
      <c r="L199" s="264" t="n"/>
      <c r="M199" s="264" t="n"/>
      <c r="N199" s="264" t="n"/>
      <c r="O199" s="264" t="n"/>
      <c r="P199" s="264" t="n"/>
      <c r="Q199" s="264" t="n"/>
      <c r="R199" s="264" t="n"/>
      <c r="S199" s="264" t="n"/>
      <c r="T199" s="264" t="n"/>
      <c r="U199" s="264" t="n"/>
      <c r="V199" s="264" t="n"/>
      <c r="W199" s="264" t="n"/>
      <c r="X199" s="264" t="n"/>
      <c r="Y199" s="264" t="n"/>
    </row>
    <row r="200">
      <c r="A200" s="264" t="n"/>
      <c r="B200" s="265" t="n">
        <v>101</v>
      </c>
      <c r="C200" s="265" t="inlineStr">
        <is>
          <t>FRONT HOOD</t>
        </is>
      </c>
      <c r="D200" s="264" t="n"/>
      <c r="E200" s="266" t="n"/>
      <c r="F200" s="267" t="n">
        <v>6960</v>
      </c>
      <c r="G200" s="267" t="inlineStr">
        <is>
          <t>N.A.</t>
        </is>
      </c>
      <c r="H200" s="267" t="n"/>
      <c r="I200" s="267" t="n"/>
      <c r="J200" s="264" t="n"/>
      <c r="K200" s="268" t="n"/>
      <c r="L200" s="264" t="n"/>
      <c r="M200" s="264" t="n"/>
      <c r="N200" s="264" t="n"/>
      <c r="O200" s="264" t="n"/>
      <c r="P200" s="264" t="n"/>
      <c r="Q200" s="264" t="n"/>
      <c r="R200" s="264" t="n"/>
      <c r="S200" s="264" t="n"/>
      <c r="T200" s="264" t="n"/>
      <c r="U200" s="264" t="n"/>
      <c r="V200" s="264" t="n"/>
      <c r="W200" s="264" t="n"/>
      <c r="X200" s="264" t="n"/>
      <c r="Y200" s="264" t="n"/>
    </row>
    <row r="201">
      <c r="A201" s="264" t="n"/>
      <c r="B201" s="265" t="n">
        <v>102</v>
      </c>
      <c r="C201" s="265" t="inlineStr">
        <is>
          <t>HINGE COMP, FRONT HOOD,R</t>
        </is>
      </c>
      <c r="D201" s="264" t="n"/>
      <c r="E201" s="266" t="n"/>
      <c r="F201" s="267" t="n">
        <v>194.5</v>
      </c>
      <c r="G201" s="267" t="inlineStr">
        <is>
          <t>N.A.</t>
        </is>
      </c>
      <c r="H201" s="267" t="n"/>
      <c r="I201" s="267" t="n"/>
      <c r="J201" s="264" t="n"/>
      <c r="K201" s="268" t="n"/>
      <c r="L201" s="264" t="n"/>
      <c r="M201" s="264" t="n"/>
      <c r="N201" s="264" t="n"/>
      <c r="O201" s="264" t="n"/>
      <c r="P201" s="264" t="n"/>
      <c r="Q201" s="264" t="n"/>
      <c r="R201" s="264" t="n"/>
      <c r="S201" s="264" t="n"/>
      <c r="T201" s="264" t="n"/>
      <c r="U201" s="264" t="n"/>
      <c r="V201" s="264" t="n"/>
      <c r="W201" s="264" t="n"/>
      <c r="X201" s="264" t="n"/>
      <c r="Y201" s="264" t="n"/>
    </row>
    <row r="202">
      <c r="A202" s="264" t="n"/>
      <c r="B202" s="265" t="n">
        <v>103</v>
      </c>
      <c r="C202" s="265" t="inlineStr">
        <is>
          <t>HINGE COMP, FRONT HOOD, L</t>
        </is>
      </c>
      <c r="D202" s="264" t="n"/>
      <c r="E202" s="266" t="n"/>
      <c r="F202" s="267" t="n">
        <v>188.5</v>
      </c>
      <c r="G202" s="267" t="inlineStr">
        <is>
          <t>N.A.</t>
        </is>
      </c>
      <c r="H202" s="267" t="n"/>
      <c r="I202" s="267" t="n"/>
      <c r="J202" s="264" t="n"/>
      <c r="K202" s="268" t="n"/>
      <c r="L202" s="264" t="n"/>
      <c r="M202" s="264" t="n"/>
      <c r="N202" s="264" t="n"/>
      <c r="O202" s="264" t="n"/>
      <c r="P202" s="264" t="n"/>
      <c r="Q202" s="264" t="n"/>
      <c r="R202" s="264" t="n"/>
      <c r="S202" s="264" t="n"/>
      <c r="T202" s="264" t="n"/>
      <c r="U202" s="264" t="n"/>
      <c r="V202" s="264" t="n"/>
      <c r="W202" s="264" t="n"/>
      <c r="X202" s="264" t="n"/>
      <c r="Y202" s="264" t="n"/>
    </row>
    <row r="203">
      <c r="A203" s="264" t="n"/>
      <c r="B203" s="265" t="n">
        <v>104</v>
      </c>
      <c r="C203" s="265" t="inlineStr">
        <is>
          <t>PANELFRONT FENDERR</t>
        </is>
      </c>
      <c r="D203" s="264" t="n"/>
      <c r="E203" s="266" t="n"/>
      <c r="F203" s="267" t="n">
        <v>1899</v>
      </c>
      <c r="G203" s="267" t="inlineStr">
        <is>
          <t>N.A.</t>
        </is>
      </c>
      <c r="H203" s="267" t="n"/>
      <c r="I203" s="267" t="n"/>
      <c r="J203" s="264" t="n"/>
      <c r="K203" s="268" t="n"/>
      <c r="L203" s="264" t="n"/>
      <c r="M203" s="264" t="n"/>
      <c r="N203" s="264" t="n"/>
      <c r="O203" s="264" t="n"/>
      <c r="P203" s="264" t="n"/>
      <c r="Q203" s="264" t="n"/>
      <c r="R203" s="264" t="n"/>
      <c r="S203" s="264" t="n"/>
      <c r="T203" s="264" t="n"/>
      <c r="U203" s="264" t="n"/>
      <c r="V203" s="264" t="n"/>
      <c r="W203" s="264" t="n"/>
      <c r="X203" s="264" t="n"/>
      <c r="Y203" s="264" t="n"/>
    </row>
    <row r="204">
      <c r="A204" s="264" t="n"/>
      <c r="B204" s="265" t="n">
        <v>105</v>
      </c>
      <c r="C204" s="265" t="inlineStr">
        <is>
          <t>MEMBER, HOOD LOCK</t>
        </is>
      </c>
      <c r="D204" s="264" t="n"/>
      <c r="E204" s="266" t="n"/>
      <c r="F204" s="267" t="n">
        <v>1286</v>
      </c>
      <c r="G204" s="267" t="inlineStr">
        <is>
          <t>N.A.</t>
        </is>
      </c>
      <c r="H204" s="267" t="n"/>
      <c r="I204" s="267" t="n"/>
      <c r="J204" s="264" t="n"/>
      <c r="K204" s="268" t="n"/>
      <c r="L204" s="264" t="n"/>
      <c r="M204" s="264" t="n"/>
      <c r="N204" s="264" t="n"/>
      <c r="O204" s="264" t="n"/>
      <c r="P204" s="264" t="n"/>
      <c r="Q204" s="264" t="n"/>
      <c r="R204" s="264" t="n"/>
      <c r="S204" s="264" t="n"/>
      <c r="T204" s="264" t="n"/>
      <c r="U204" s="264" t="n"/>
      <c r="V204" s="264" t="n"/>
      <c r="W204" s="264" t="n"/>
      <c r="X204" s="264" t="n"/>
      <c r="Y204" s="264" t="n"/>
    </row>
    <row r="205">
      <c r="A205" s="264" t="n"/>
      <c r="B205" s="265" t="n">
        <v>106</v>
      </c>
      <c r="C205" s="265" t="inlineStr">
        <is>
          <t>MEMBER, FRONT BUMPER</t>
        </is>
      </c>
      <c r="D205" s="264" t="n"/>
      <c r="E205" s="266" t="n"/>
      <c r="F205" s="267" t="n">
        <v>3996</v>
      </c>
      <c r="G205" s="267" t="inlineStr">
        <is>
          <t>N.A.</t>
        </is>
      </c>
      <c r="H205" s="267" t="n"/>
      <c r="I205" s="267" t="n"/>
      <c r="J205" s="264" t="n"/>
      <c r="K205" s="268" t="n"/>
      <c r="L205" s="264" t="n"/>
      <c r="M205" s="264" t="n"/>
      <c r="N205" s="264" t="n"/>
      <c r="O205" s="264" t="n"/>
      <c r="P205" s="264" t="n"/>
      <c r="Q205" s="264" t="n"/>
      <c r="R205" s="264" t="n"/>
      <c r="S205" s="264" t="n"/>
      <c r="T205" s="264" t="n"/>
      <c r="U205" s="264" t="n"/>
      <c r="V205" s="264" t="n"/>
      <c r="W205" s="264" t="n"/>
      <c r="X205" s="264" t="n"/>
      <c r="Y205" s="264" t="n"/>
    </row>
    <row r="206">
      <c r="A206" s="264" t="n"/>
      <c r="B206" s="265" t="n">
        <v>107</v>
      </c>
      <c r="C206" s="265" t="inlineStr">
        <is>
          <t>PANEL COMP, FENDER APRON,R</t>
        </is>
      </c>
      <c r="D206" s="264" t="n"/>
      <c r="E206" s="266" t="n"/>
      <c r="F206" s="267" t="n">
        <v>1364</v>
      </c>
      <c r="G206" s="267" t="inlineStr">
        <is>
          <t>N.A.</t>
        </is>
      </c>
      <c r="H206" s="267" t="n"/>
      <c r="I206" s="267" t="n"/>
      <c r="J206" s="264" t="n"/>
      <c r="K206" s="268" t="n"/>
      <c r="L206" s="264" t="n"/>
      <c r="M206" s="264" t="n"/>
      <c r="N206" s="264" t="n"/>
      <c r="O206" s="264" t="n"/>
      <c r="P206" s="264" t="n"/>
      <c r="Q206" s="264" t="n"/>
      <c r="R206" s="264" t="n"/>
      <c r="S206" s="264" t="n"/>
      <c r="T206" s="264" t="n"/>
      <c r="U206" s="264" t="n"/>
      <c r="V206" s="264" t="n"/>
      <c r="W206" s="264" t="n"/>
      <c r="X206" s="264" t="n"/>
      <c r="Y206" s="264" t="n"/>
    </row>
    <row r="207">
      <c r="A207" s="264" t="n"/>
      <c r="B207" s="265" t="n">
        <v>108</v>
      </c>
      <c r="C207" s="265" t="inlineStr">
        <is>
          <t>BRACKET, FR FENDER LWR RH</t>
        </is>
      </c>
      <c r="D207" s="264" t="n"/>
      <c r="E207" s="266" t="n"/>
      <c r="F207" s="267" t="n">
        <v>43</v>
      </c>
      <c r="G207" s="267" t="inlineStr">
        <is>
          <t>N.A.</t>
        </is>
      </c>
      <c r="H207" s="267" t="n"/>
      <c r="I207" s="267" t="n"/>
      <c r="J207" s="264" t="n"/>
      <c r="K207" s="268" t="n"/>
      <c r="L207" s="264" t="n"/>
      <c r="M207" s="264" t="n"/>
      <c r="N207" s="264" t="n"/>
      <c r="O207" s="264" t="n"/>
      <c r="P207" s="264" t="n"/>
      <c r="Q207" s="264" t="n"/>
      <c r="R207" s="264" t="n"/>
      <c r="S207" s="264" t="n"/>
      <c r="T207" s="264" t="n"/>
      <c r="U207" s="264" t="n"/>
      <c r="V207" s="264" t="n"/>
      <c r="W207" s="264" t="n"/>
      <c r="X207" s="264" t="n"/>
      <c r="Y207" s="264" t="n"/>
    </row>
    <row r="208">
      <c r="A208" s="264" t="n"/>
      <c r="B208" s="265" t="n">
        <v>109</v>
      </c>
      <c r="C208" s="265" t="inlineStr">
        <is>
          <t>BRACKET COMP, FR FNDR UPR FR,R</t>
        </is>
      </c>
      <c r="D208" s="264" t="n"/>
      <c r="E208" s="266" t="n"/>
      <c r="F208" s="267" t="n">
        <v>70</v>
      </c>
      <c r="G208" s="267" t="inlineStr">
        <is>
          <t>N.A.</t>
        </is>
      </c>
      <c r="H208" s="267" t="n"/>
      <c r="I208" s="267" t="n"/>
      <c r="J208" s="264" t="n"/>
      <c r="K208" s="268" t="n"/>
      <c r="L208" s="264" t="n"/>
      <c r="M208" s="264" t="n"/>
      <c r="N208" s="264" t="n"/>
      <c r="O208" s="264" t="n"/>
      <c r="P208" s="264" t="n"/>
      <c r="Q208" s="264" t="n"/>
      <c r="R208" s="264" t="n"/>
      <c r="S208" s="264" t="n"/>
      <c r="T208" s="264" t="n"/>
      <c r="U208" s="264" t="n"/>
      <c r="V208" s="264" t="n"/>
      <c r="W208" s="264" t="n"/>
      <c r="X208" s="264" t="n"/>
      <c r="Y208" s="264" t="n"/>
    </row>
    <row r="209">
      <c r="A209" s="264" t="n"/>
      <c r="B209" s="265" t="n">
        <v>110</v>
      </c>
      <c r="C209" s="265" t="inlineStr">
        <is>
          <t>MEMBER COMP, FRONT SIDE,R</t>
        </is>
      </c>
      <c r="D209" s="264" t="n"/>
      <c r="E209" s="266" t="n"/>
      <c r="F209" s="267" t="n">
        <v>5254.5</v>
      </c>
      <c r="G209" s="267" t="inlineStr">
        <is>
          <t>N.A.</t>
        </is>
      </c>
      <c r="H209" s="267" t="n"/>
      <c r="I209" s="267" t="n"/>
      <c r="J209" s="264" t="n"/>
      <c r="K209" s="268" t="n"/>
      <c r="L209" s="264" t="n"/>
      <c r="M209" s="264" t="n"/>
      <c r="N209" s="264" t="n"/>
      <c r="O209" s="264" t="n"/>
      <c r="P209" s="264" t="n"/>
      <c r="Q209" s="264" t="n"/>
      <c r="R209" s="264" t="n"/>
      <c r="S209" s="264" t="n"/>
      <c r="T209" s="264" t="n"/>
      <c r="U209" s="264" t="n"/>
      <c r="V209" s="264" t="n"/>
      <c r="W209" s="264" t="n"/>
      <c r="X209" s="264" t="n"/>
      <c r="Y209" s="264" t="n"/>
    </row>
    <row r="210">
      <c r="A210" s="264" t="n"/>
      <c r="B210" s="265" t="n">
        <v>111</v>
      </c>
      <c r="C210" s="265" t="inlineStr">
        <is>
          <t>PANEL COMP, DASH</t>
        </is>
      </c>
      <c r="D210" s="264" t="n"/>
      <c r="E210" s="266" t="n"/>
      <c r="F210" s="267" t="n">
        <v>2067.5</v>
      </c>
      <c r="G210" s="267" t="inlineStr">
        <is>
          <t>N.A.</t>
        </is>
      </c>
      <c r="H210" s="267" t="n"/>
      <c r="I210" s="267" t="n"/>
      <c r="J210" s="264" t="n"/>
      <c r="K210" s="268" t="n"/>
      <c r="L210" s="264" t="n"/>
      <c r="M210" s="264" t="n"/>
      <c r="N210" s="264" t="n"/>
      <c r="O210" s="264" t="n"/>
      <c r="P210" s="264" t="n"/>
      <c r="Q210" s="264" t="n"/>
      <c r="R210" s="264" t="n"/>
      <c r="S210" s="264" t="n"/>
      <c r="T210" s="264" t="n"/>
      <c r="U210" s="264" t="n"/>
      <c r="V210" s="264" t="n"/>
      <c r="W210" s="264" t="n"/>
      <c r="X210" s="264" t="n"/>
      <c r="Y210" s="264" t="n"/>
    </row>
    <row r="211">
      <c r="A211" s="264" t="n"/>
      <c r="B211" s="265" t="n">
        <v>112</v>
      </c>
      <c r="C211" s="265" t="inlineStr">
        <is>
          <t>PANEL, DASH SIDE RH</t>
        </is>
      </c>
      <c r="D211" s="264" t="n"/>
      <c r="E211" s="266" t="n"/>
      <c r="F211" s="267" t="n">
        <v>1078.5</v>
      </c>
      <c r="G211" s="267" t="inlineStr">
        <is>
          <t>N.A.</t>
        </is>
      </c>
      <c r="H211" s="267" t="n"/>
      <c r="I211" s="267" t="n"/>
      <c r="J211" s="264" t="n"/>
      <c r="K211" s="268" t="n"/>
      <c r="L211" s="264" t="n"/>
      <c r="M211" s="264" t="n"/>
      <c r="N211" s="264" t="n"/>
      <c r="O211" s="264" t="n"/>
      <c r="P211" s="264" t="n"/>
      <c r="Q211" s="264" t="n"/>
      <c r="R211" s="264" t="n"/>
      <c r="S211" s="264" t="n"/>
      <c r="T211" s="264" t="n"/>
      <c r="U211" s="264" t="n"/>
      <c r="V211" s="264" t="n"/>
      <c r="W211" s="264" t="n"/>
      <c r="X211" s="264" t="n"/>
      <c r="Y211" s="264" t="n"/>
    </row>
    <row r="212">
      <c r="A212" s="264" t="n"/>
      <c r="B212" s="265" t="n">
        <v>113</v>
      </c>
      <c r="C212" s="265" t="inlineStr">
        <is>
          <t>PANEL COMP, COWL UPPER</t>
        </is>
      </c>
      <c r="D212" s="264" t="n"/>
      <c r="E212" s="266" t="n"/>
      <c r="F212" s="267" t="n">
        <v>963</v>
      </c>
      <c r="G212" s="267" t="inlineStr">
        <is>
          <t>N.A.</t>
        </is>
      </c>
      <c r="H212" s="267" t="n"/>
      <c r="I212" s="267" t="n"/>
      <c r="J212" s="264" t="n"/>
      <c r="K212" s="268" t="n"/>
      <c r="L212" s="264" t="n"/>
      <c r="M212" s="264" t="n"/>
      <c r="N212" s="264" t="n"/>
      <c r="O212" s="264" t="n"/>
      <c r="P212" s="264" t="n"/>
      <c r="Q212" s="264" t="n"/>
      <c r="R212" s="264" t="n"/>
      <c r="S212" s="264" t="n"/>
      <c r="T212" s="264" t="n"/>
      <c r="U212" s="264" t="n"/>
      <c r="V212" s="264" t="n"/>
      <c r="W212" s="264" t="n"/>
      <c r="X212" s="264" t="n"/>
      <c r="Y212" s="264" t="n"/>
    </row>
    <row r="213">
      <c r="A213" s="264" t="n"/>
      <c r="B213" s="265" t="n">
        <v>114</v>
      </c>
      <c r="C213" s="265" t="inlineStr">
        <is>
          <t>MEMBER, COWL SIDE OTR RH</t>
        </is>
      </c>
      <c r="D213" s="264" t="n"/>
      <c r="E213" s="266" t="n"/>
      <c r="F213" s="267" t="n">
        <v>258</v>
      </c>
      <c r="G213" s="267" t="inlineStr">
        <is>
          <t>N.A.</t>
        </is>
      </c>
      <c r="H213" s="267" t="n"/>
      <c r="I213" s="267" t="n"/>
      <c r="J213" s="264" t="n"/>
      <c r="K213" s="268" t="n"/>
      <c r="L213" s="264" t="n"/>
      <c r="M213" s="264" t="n"/>
      <c r="N213" s="264" t="n"/>
      <c r="O213" s="264" t="n"/>
      <c r="P213" s="264" t="n"/>
      <c r="Q213" s="264" t="n"/>
      <c r="R213" s="264" t="n"/>
      <c r="S213" s="264" t="n"/>
      <c r="T213" s="264" t="n"/>
      <c r="U213" s="264" t="n"/>
      <c r="V213" s="264" t="n"/>
      <c r="W213" s="264" t="n"/>
      <c r="X213" s="264" t="n"/>
      <c r="Y213" s="264" t="n"/>
    </row>
    <row r="214">
      <c r="A214" s="264" t="n"/>
      <c r="B214" s="265" t="n">
        <v>115</v>
      </c>
      <c r="C214" s="265" t="inlineStr">
        <is>
          <t>PANEL COMP, COWL TOP</t>
        </is>
      </c>
      <c r="D214" s="264" t="n"/>
      <c r="E214" s="266" t="n"/>
      <c r="F214" s="267" t="n">
        <v>382.5</v>
      </c>
      <c r="G214" s="267" t="inlineStr">
        <is>
          <t>N.A.</t>
        </is>
      </c>
      <c r="H214" s="267" t="n"/>
      <c r="I214" s="267" t="n"/>
      <c r="J214" s="264" t="n"/>
      <c r="K214" s="268" t="n"/>
      <c r="L214" s="264" t="n"/>
      <c r="M214" s="264" t="n"/>
      <c r="N214" s="264" t="n"/>
      <c r="O214" s="264" t="n"/>
      <c r="P214" s="264" t="n"/>
      <c r="Q214" s="264" t="n"/>
      <c r="R214" s="264" t="n"/>
      <c r="S214" s="264" t="n"/>
      <c r="T214" s="264" t="n"/>
      <c r="U214" s="264" t="n"/>
      <c r="V214" s="264" t="n"/>
      <c r="W214" s="264" t="n"/>
      <c r="X214" s="264" t="n"/>
      <c r="Y214" s="264" t="n"/>
    </row>
    <row r="215">
      <c r="A215" s="264" t="n"/>
      <c r="B215" s="265" t="n">
        <v>116</v>
      </c>
      <c r="C215" s="265" t="inlineStr">
        <is>
          <t>PAN, MAIN FLOOR RH</t>
        </is>
      </c>
      <c r="D215" s="264" t="n"/>
      <c r="E215" s="266" t="n"/>
      <c r="F215" s="267" t="n">
        <v>1006.5</v>
      </c>
      <c r="G215" s="267" t="inlineStr">
        <is>
          <t>N.A.</t>
        </is>
      </c>
      <c r="H215" s="267" t="n"/>
      <c r="I215" s="267" t="n"/>
      <c r="J215" s="264" t="n"/>
      <c r="K215" s="268" t="n"/>
      <c r="L215" s="264" t="n"/>
      <c r="M215" s="264" t="n"/>
      <c r="N215" s="264" t="n"/>
      <c r="O215" s="264" t="n"/>
      <c r="P215" s="264" t="n"/>
      <c r="Q215" s="264" t="n"/>
      <c r="R215" s="264" t="n"/>
      <c r="S215" s="264" t="n"/>
      <c r="T215" s="264" t="n"/>
      <c r="U215" s="264" t="n"/>
      <c r="V215" s="264" t="n"/>
      <c r="W215" s="264" t="n"/>
      <c r="X215" s="264" t="n"/>
      <c r="Y215" s="264" t="n"/>
    </row>
    <row r="216">
      <c r="A216" s="264" t="n"/>
      <c r="B216" s="265" t="n">
        <v>117</v>
      </c>
      <c r="C216" s="265" t="inlineStr">
        <is>
          <t>PANEL COMP SIDE SILL INNER RH</t>
        </is>
      </c>
      <c r="D216" s="264" t="n"/>
      <c r="E216" s="266" t="n"/>
      <c r="F216" s="267" t="n">
        <v>1327.5</v>
      </c>
      <c r="G216" s="267" t="inlineStr">
        <is>
          <t>N.A.</t>
        </is>
      </c>
      <c r="H216" s="267" t="n"/>
      <c r="I216" s="267" t="n"/>
      <c r="J216" s="264" t="n"/>
      <c r="K216" s="268" t="n"/>
      <c r="L216" s="264" t="n"/>
      <c r="M216" s="264" t="n"/>
      <c r="N216" s="264" t="n"/>
      <c r="O216" s="264" t="n"/>
      <c r="P216" s="264" t="n"/>
      <c r="Q216" s="264" t="n"/>
      <c r="R216" s="264" t="n"/>
      <c r="S216" s="264" t="n"/>
      <c r="T216" s="264" t="n"/>
      <c r="U216" s="264" t="n"/>
      <c r="V216" s="264" t="n"/>
      <c r="W216" s="264" t="n"/>
      <c r="X216" s="264" t="n"/>
      <c r="Y216" s="264" t="n"/>
    </row>
    <row r="217">
      <c r="A217" s="264" t="n"/>
      <c r="B217" s="265" t="n">
        <v>118</v>
      </c>
      <c r="C217" s="265" t="inlineStr">
        <is>
          <t>PANEL, REAR FLOOR FR</t>
        </is>
      </c>
      <c r="D217" s="264" t="n"/>
      <c r="E217" s="266" t="n"/>
      <c r="F217" s="267" t="n">
        <v>1105</v>
      </c>
      <c r="G217" s="267" t="inlineStr">
        <is>
          <t>N.A.</t>
        </is>
      </c>
      <c r="H217" s="267" t="n"/>
      <c r="I217" s="267" t="n"/>
      <c r="J217" s="264" t="n"/>
      <c r="K217" s="268" t="n"/>
      <c r="L217" s="264" t="n"/>
      <c r="M217" s="264" t="n"/>
      <c r="N217" s="264" t="n"/>
      <c r="O217" s="264" t="n"/>
      <c r="P217" s="264" t="n"/>
      <c r="Q217" s="264" t="n"/>
      <c r="R217" s="264" t="n"/>
      <c r="S217" s="264" t="n"/>
      <c r="T217" s="264" t="n"/>
      <c r="U217" s="264" t="n"/>
      <c r="V217" s="264" t="n"/>
      <c r="W217" s="264" t="n"/>
      <c r="X217" s="264" t="n"/>
      <c r="Y217" s="264" t="n"/>
    </row>
    <row r="218">
      <c r="A218" s="264" t="n"/>
      <c r="B218" s="265" t="n">
        <v>119</v>
      </c>
      <c r="C218" s="265" t="inlineStr">
        <is>
          <t>PANEL COMP, FRONT PILLAR INR,R</t>
        </is>
      </c>
      <c r="D218" s="264" t="n"/>
      <c r="E218" s="266" t="n"/>
      <c r="F218" s="267" t="n">
        <v>926</v>
      </c>
      <c r="G218" s="267" t="inlineStr">
        <is>
          <t>N.A.</t>
        </is>
      </c>
      <c r="H218" s="267" t="n"/>
      <c r="I218" s="267" t="n"/>
      <c r="J218" s="264" t="n"/>
      <c r="K218" s="268" t="n"/>
      <c r="L218" s="264" t="n"/>
      <c r="M218" s="264" t="n"/>
      <c r="N218" s="264" t="n"/>
      <c r="O218" s="264" t="n"/>
      <c r="P218" s="264" t="n"/>
      <c r="Q218" s="264" t="n"/>
      <c r="R218" s="264" t="n"/>
      <c r="S218" s="264" t="n"/>
      <c r="T218" s="264" t="n"/>
      <c r="U218" s="264" t="n"/>
      <c r="V218" s="264" t="n"/>
      <c r="W218" s="264" t="n"/>
      <c r="X218" s="264" t="n"/>
      <c r="Y218" s="264" t="n"/>
    </row>
    <row r="219">
      <c r="A219" s="264" t="n"/>
      <c r="B219" s="265" t="n">
        <v>120</v>
      </c>
      <c r="C219" s="265" t="inlineStr">
        <is>
          <t>REINF COMP, FRONT DOOR HINGE,R</t>
        </is>
      </c>
      <c r="D219" s="264" t="n"/>
      <c r="E219" s="266" t="n"/>
      <c r="F219" s="267" t="n">
        <v>1189</v>
      </c>
      <c r="G219" s="267" t="inlineStr">
        <is>
          <t>N.A.</t>
        </is>
      </c>
      <c r="H219" s="267" t="n"/>
      <c r="I219" s="267" t="n"/>
      <c r="J219" s="264" t="n"/>
      <c r="K219" s="268" t="n"/>
      <c r="L219" s="264" t="n"/>
      <c r="M219" s="264" t="n"/>
      <c r="N219" s="264" t="n"/>
      <c r="O219" s="264" t="n"/>
      <c r="P219" s="264" t="n"/>
      <c r="Q219" s="264" t="n"/>
      <c r="R219" s="264" t="n"/>
      <c r="S219" s="264" t="n"/>
      <c r="T219" s="264" t="n"/>
      <c r="U219" s="264" t="n"/>
      <c r="V219" s="264" t="n"/>
      <c r="W219" s="264" t="n"/>
      <c r="X219" s="264" t="n"/>
      <c r="Y219" s="264" t="n"/>
    </row>
    <row r="220">
      <c r="A220" s="264" t="n"/>
      <c r="B220" s="265" t="n">
        <v>121</v>
      </c>
      <c r="C220" s="265" t="inlineStr">
        <is>
          <t>REINF, FR PLR UPR RH</t>
        </is>
      </c>
      <c r="D220" s="264" t="n"/>
      <c r="E220" s="266" t="n"/>
      <c r="F220" s="267" t="n">
        <v>645</v>
      </c>
      <c r="G220" s="267" t="inlineStr">
        <is>
          <t>N.A.</t>
        </is>
      </c>
      <c r="H220" s="267" t="n"/>
      <c r="I220" s="267" t="n"/>
      <c r="J220" s="264" t="n"/>
      <c r="K220" s="268" t="n"/>
      <c r="L220" s="264" t="n"/>
      <c r="M220" s="264" t="n"/>
      <c r="N220" s="264" t="n"/>
      <c r="O220" s="264" t="n"/>
      <c r="P220" s="264" t="n"/>
      <c r="Q220" s="264" t="n"/>
      <c r="R220" s="264" t="n"/>
      <c r="S220" s="264" t="n"/>
      <c r="T220" s="264" t="n"/>
      <c r="U220" s="264" t="n"/>
      <c r="V220" s="264" t="n"/>
      <c r="W220" s="264" t="n"/>
      <c r="X220" s="264" t="n"/>
      <c r="Y220" s="264" t="n"/>
    </row>
    <row r="221">
      <c r="A221" s="264" t="n"/>
      <c r="B221" s="265" t="n">
        <v>122</v>
      </c>
      <c r="C221" s="265" t="inlineStr">
        <is>
          <t>PANEL COMP, CTR PILLAR INNER,R</t>
        </is>
      </c>
      <c r="D221" s="264" t="n"/>
      <c r="E221" s="266" t="n"/>
      <c r="F221" s="267" t="n">
        <v>405.5</v>
      </c>
      <c r="G221" s="267" t="inlineStr">
        <is>
          <t>N.A.</t>
        </is>
      </c>
      <c r="H221" s="267" t="n"/>
      <c r="I221" s="267" t="n"/>
      <c r="J221" s="264" t="n"/>
      <c r="K221" s="268" t="n"/>
      <c r="L221" s="264" t="n"/>
      <c r="M221" s="264" t="n"/>
      <c r="N221" s="264" t="n"/>
      <c r="O221" s="264" t="n"/>
      <c r="P221" s="264" t="n"/>
      <c r="Q221" s="264" t="n"/>
      <c r="R221" s="264" t="n"/>
      <c r="S221" s="264" t="n"/>
      <c r="T221" s="264" t="n"/>
      <c r="U221" s="264" t="n"/>
      <c r="V221" s="264" t="n"/>
      <c r="W221" s="264" t="n"/>
      <c r="X221" s="264" t="n"/>
      <c r="Y221" s="264" t="n"/>
    </row>
    <row r="222">
      <c r="A222" s="264" t="n"/>
      <c r="B222" s="265" t="n">
        <v>123</v>
      </c>
      <c r="C222" s="265" t="inlineStr">
        <is>
          <t>STRENGTH COMP, SIDE SILL,R</t>
        </is>
      </c>
      <c r="D222" s="264" t="n"/>
      <c r="E222" s="266" t="n"/>
      <c r="F222" s="267" t="n">
        <v>1418.5</v>
      </c>
      <c r="G222" s="267" t="inlineStr">
        <is>
          <t>N.A.</t>
        </is>
      </c>
      <c r="H222" s="267" t="n"/>
      <c r="I222" s="267" t="n"/>
      <c r="J222" s="264" t="n"/>
      <c r="K222" s="268" t="n"/>
      <c r="L222" s="264" t="n"/>
      <c r="M222" s="264" t="n"/>
      <c r="N222" s="264" t="n"/>
      <c r="O222" s="264" t="n"/>
      <c r="P222" s="264" t="n"/>
      <c r="Q222" s="264" t="n"/>
      <c r="R222" s="264" t="n"/>
      <c r="S222" s="264" t="n"/>
      <c r="T222" s="264" t="n"/>
      <c r="U222" s="264" t="n"/>
      <c r="V222" s="264" t="n"/>
      <c r="W222" s="264" t="n"/>
      <c r="X222" s="264" t="n"/>
      <c r="Y222" s="264" t="n"/>
    </row>
    <row r="223">
      <c r="A223" s="264" t="n"/>
      <c r="B223" s="265" t="n">
        <v>124</v>
      </c>
      <c r="C223" s="265" t="inlineStr">
        <is>
          <t>REINF, REAR DOOR HINGE, LH</t>
        </is>
      </c>
      <c r="D223" s="264" t="n"/>
      <c r="E223" s="266" t="n"/>
      <c r="F223" s="267" t="n">
        <v>1843.5</v>
      </c>
      <c r="G223" s="267" t="inlineStr">
        <is>
          <t>N.A.</t>
        </is>
      </c>
      <c r="H223" s="267" t="n"/>
      <c r="I223" s="267" t="n"/>
      <c r="J223" s="264" t="n"/>
      <c r="K223" s="268" t="n"/>
      <c r="L223" s="264" t="n"/>
      <c r="M223" s="264" t="n"/>
      <c r="N223" s="264" t="n"/>
      <c r="O223" s="264" t="n"/>
      <c r="P223" s="264" t="n"/>
      <c r="Q223" s="264" t="n"/>
      <c r="R223" s="264" t="n"/>
      <c r="S223" s="264" t="n"/>
      <c r="T223" s="264" t="n"/>
      <c r="U223" s="264" t="n"/>
      <c r="V223" s="264" t="n"/>
      <c r="W223" s="264" t="n"/>
      <c r="X223" s="264" t="n"/>
      <c r="Y223" s="264" t="n"/>
    </row>
    <row r="224">
      <c r="A224" s="264" t="n"/>
      <c r="B224" s="265" t="n">
        <v>125</v>
      </c>
      <c r="C224" s="265" t="inlineStr">
        <is>
          <t>PANEL, SIDE BODY OUTER,R</t>
        </is>
      </c>
      <c r="D224" s="264" t="n"/>
      <c r="E224" s="266" t="n"/>
      <c r="F224" s="267" t="n">
        <v>6775.5</v>
      </c>
      <c r="G224" s="267" t="inlineStr">
        <is>
          <t>N.A.</t>
        </is>
      </c>
      <c r="H224" s="267" t="n"/>
      <c r="I224" s="267" t="n"/>
      <c r="J224" s="264" t="n"/>
      <c r="K224" s="268" t="n"/>
      <c r="L224" s="264" t="n"/>
      <c r="M224" s="264" t="n"/>
      <c r="N224" s="264" t="n"/>
      <c r="O224" s="264" t="n"/>
      <c r="P224" s="264" t="n"/>
      <c r="Q224" s="264" t="n"/>
      <c r="R224" s="264" t="n"/>
      <c r="S224" s="264" t="n"/>
      <c r="T224" s="264" t="n"/>
      <c r="U224" s="264" t="n"/>
      <c r="V224" s="264" t="n"/>
      <c r="W224" s="264" t="n"/>
      <c r="X224" s="264" t="n"/>
      <c r="Y224" s="264" t="n"/>
    </row>
    <row r="225">
      <c r="A225" s="264" t="n"/>
      <c r="B225" s="265" t="n">
        <v>126</v>
      </c>
      <c r="C225" s="265" t="inlineStr">
        <is>
          <t>PANEL, SIDE SILL RH</t>
        </is>
      </c>
      <c r="D225" s="264" t="n"/>
      <c r="E225" s="266" t="n"/>
      <c r="F225" s="267" t="n">
        <v>6070.5</v>
      </c>
      <c r="G225" s="267" t="inlineStr">
        <is>
          <t>N.A.</t>
        </is>
      </c>
      <c r="H225" s="267" t="n"/>
      <c r="I225" s="267" t="n"/>
      <c r="J225" s="264" t="n"/>
      <c r="K225" s="268" t="n"/>
      <c r="L225" s="264" t="n"/>
      <c r="M225" s="264" t="n"/>
      <c r="N225" s="264" t="n"/>
      <c r="O225" s="264" t="n"/>
      <c r="P225" s="264" t="n"/>
      <c r="Q225" s="264" t="n"/>
      <c r="R225" s="264" t="n"/>
      <c r="S225" s="264" t="n"/>
      <c r="T225" s="264" t="n"/>
      <c r="U225" s="264" t="n"/>
      <c r="V225" s="264" t="n"/>
      <c r="W225" s="264" t="n"/>
      <c r="X225" s="264" t="n"/>
      <c r="Y225" s="264" t="n"/>
    </row>
    <row r="226">
      <c r="A226" s="264" t="n"/>
      <c r="B226" s="265" t="n">
        <v>127</v>
      </c>
      <c r="C226" s="265" t="inlineStr">
        <is>
          <t>PANEL, ROOF</t>
        </is>
      </c>
      <c r="D226" s="264" t="n"/>
      <c r="E226" s="266" t="n"/>
      <c r="F226" s="267" t="n">
        <v>3071.5</v>
      </c>
      <c r="G226" s="267" t="inlineStr">
        <is>
          <t>N.A.</t>
        </is>
      </c>
      <c r="H226" s="267" t="n"/>
      <c r="I226" s="267" t="n"/>
      <c r="J226" s="264" t="n"/>
      <c r="K226" s="268" t="n"/>
      <c r="L226" s="264" t="n"/>
      <c r="M226" s="264" t="n"/>
      <c r="N226" s="264" t="n"/>
      <c r="O226" s="264" t="n"/>
      <c r="P226" s="264" t="n"/>
      <c r="Q226" s="264" t="n"/>
      <c r="R226" s="264" t="n"/>
      <c r="S226" s="264" t="n"/>
      <c r="T226" s="264" t="n"/>
      <c r="U226" s="264" t="n"/>
      <c r="V226" s="264" t="n"/>
      <c r="W226" s="264" t="n"/>
      <c r="X226" s="264" t="n"/>
      <c r="Y226" s="264" t="n"/>
    </row>
    <row r="227">
      <c r="A227" s="264" t="n"/>
      <c r="B227" s="265" t="n">
        <v>128</v>
      </c>
      <c r="C227" s="265" t="inlineStr">
        <is>
          <t>MEMBER COMP, ROOF FRONT INNER</t>
        </is>
      </c>
      <c r="D227" s="264" t="n"/>
      <c r="E227" s="266" t="n"/>
      <c r="F227" s="267" t="n">
        <v>520.5</v>
      </c>
      <c r="G227" s="267" t="inlineStr">
        <is>
          <t>N.A.</t>
        </is>
      </c>
      <c r="H227" s="267" t="n"/>
      <c r="I227" s="267" t="n"/>
      <c r="J227" s="264" t="n"/>
      <c r="K227" s="268" t="n"/>
      <c r="L227" s="264" t="n"/>
      <c r="M227" s="264" t="n"/>
      <c r="N227" s="264" t="n"/>
      <c r="O227" s="264" t="n"/>
      <c r="P227" s="264" t="n"/>
      <c r="Q227" s="264" t="n"/>
      <c r="R227" s="264" t="n"/>
      <c r="S227" s="264" t="n"/>
      <c r="T227" s="264" t="n"/>
      <c r="U227" s="264" t="n"/>
      <c r="V227" s="264" t="n"/>
      <c r="W227" s="264" t="n"/>
      <c r="X227" s="264" t="n"/>
      <c r="Y227" s="264" t="n"/>
    </row>
    <row r="228">
      <c r="A228" s="264" t="n"/>
      <c r="B228" s="265" t="n">
        <v>129</v>
      </c>
      <c r="C228" s="265" t="inlineStr">
        <is>
          <t>MEMBER, ROOF CTR INNER</t>
        </is>
      </c>
      <c r="D228" s="264" t="n"/>
      <c r="E228" s="266" t="n"/>
      <c r="F228" s="267" t="n">
        <v>419</v>
      </c>
      <c r="G228" s="267" t="inlineStr">
        <is>
          <t>N.A.</t>
        </is>
      </c>
      <c r="H228" s="267" t="n"/>
      <c r="I228" s="267" t="n"/>
      <c r="J228" s="264" t="n"/>
      <c r="K228" s="268" t="n"/>
      <c r="L228" s="264" t="n"/>
      <c r="M228" s="264" t="n"/>
      <c r="N228" s="264" t="n"/>
      <c r="O228" s="264" t="n"/>
      <c r="P228" s="264" t="n"/>
      <c r="Q228" s="264" t="n"/>
      <c r="R228" s="264" t="n"/>
      <c r="S228" s="264" t="n"/>
      <c r="T228" s="264" t="n"/>
      <c r="U228" s="264" t="n"/>
      <c r="V228" s="264" t="n"/>
      <c r="W228" s="264" t="n"/>
      <c r="X228" s="264" t="n"/>
      <c r="Y228" s="264" t="n"/>
    </row>
    <row r="229">
      <c r="A229" s="264" t="n"/>
      <c r="B229" s="265" t="n">
        <v>130</v>
      </c>
      <c r="C229" s="265" t="inlineStr">
        <is>
          <t>MEMBER, ROOF NO1</t>
        </is>
      </c>
      <c r="D229" s="264" t="n"/>
      <c r="E229" s="266" t="n"/>
      <c r="F229" s="267" t="n">
        <v>119.5</v>
      </c>
      <c r="G229" s="267" t="inlineStr">
        <is>
          <t>N.A.</t>
        </is>
      </c>
      <c r="H229" s="267" t="n"/>
      <c r="I229" s="267" t="n"/>
      <c r="J229" s="264" t="n"/>
      <c r="K229" s="268" t="n"/>
      <c r="L229" s="264" t="n"/>
      <c r="M229" s="264" t="n"/>
      <c r="N229" s="264" t="n"/>
      <c r="O229" s="264" t="n"/>
      <c r="P229" s="264" t="n"/>
      <c r="Q229" s="264" t="n"/>
      <c r="R229" s="264" t="n"/>
      <c r="S229" s="264" t="n"/>
      <c r="T229" s="264" t="n"/>
      <c r="U229" s="264" t="n"/>
      <c r="V229" s="264" t="n"/>
      <c r="W229" s="264" t="n"/>
      <c r="X229" s="264" t="n"/>
      <c r="Y229" s="264" t="n"/>
    </row>
    <row r="230">
      <c r="A230" s="264" t="n"/>
      <c r="B230" s="265" t="n">
        <v>131</v>
      </c>
      <c r="C230" s="265" t="inlineStr">
        <is>
          <t>PANEL ASSY FRONT DOOR RH</t>
        </is>
      </c>
      <c r="D230" s="264" t="n"/>
      <c r="E230" s="266" t="n"/>
      <c r="F230" s="267" t="n">
        <v>8757.5</v>
      </c>
      <c r="G230" s="267" t="inlineStr">
        <is>
          <t>N.A.</t>
        </is>
      </c>
      <c r="H230" s="267" t="n"/>
      <c r="I230" s="267" t="n"/>
      <c r="J230" s="264" t="n"/>
      <c r="K230" s="268" t="n"/>
      <c r="L230" s="264" t="n"/>
      <c r="M230" s="264" t="n"/>
      <c r="N230" s="264" t="n"/>
      <c r="O230" s="264" t="n"/>
      <c r="P230" s="264" t="n"/>
      <c r="Q230" s="264" t="n"/>
      <c r="R230" s="264" t="n"/>
      <c r="S230" s="264" t="n"/>
      <c r="T230" s="264" t="n"/>
      <c r="U230" s="264" t="n"/>
      <c r="V230" s="264" t="n"/>
      <c r="W230" s="264" t="n"/>
      <c r="X230" s="264" t="n"/>
      <c r="Y230" s="264" t="n"/>
    </row>
    <row r="231">
      <c r="A231" s="264" t="n"/>
      <c r="B231" s="265" t="n">
        <v>132</v>
      </c>
      <c r="C231" s="265" t="inlineStr">
        <is>
          <t>HINGE COMP, FRONT DOOR UPPER,R</t>
        </is>
      </c>
      <c r="D231" s="264" t="n"/>
      <c r="E231" s="266" t="n"/>
      <c r="F231" s="267" t="n">
        <v>133.5</v>
      </c>
      <c r="G231" s="267" t="inlineStr">
        <is>
          <t>N.A.</t>
        </is>
      </c>
      <c r="H231" s="267" t="n"/>
      <c r="I231" s="267" t="n"/>
      <c r="J231" s="264" t="n"/>
      <c r="K231" s="268" t="n"/>
      <c r="L231" s="264" t="n"/>
      <c r="M231" s="264" t="n"/>
      <c r="N231" s="264" t="n"/>
      <c r="O231" s="264" t="n"/>
      <c r="P231" s="264" t="n"/>
      <c r="Q231" s="264" t="n"/>
      <c r="R231" s="264" t="n"/>
      <c r="S231" s="264" t="n"/>
      <c r="T231" s="264" t="n"/>
      <c r="U231" s="264" t="n"/>
      <c r="V231" s="264" t="n"/>
      <c r="W231" s="264" t="n"/>
      <c r="X231" s="264" t="n"/>
      <c r="Y231" s="264" t="n"/>
    </row>
    <row r="232">
      <c r="A232" s="264" t="n"/>
      <c r="B232" s="265" t="n">
        <v>133</v>
      </c>
      <c r="C232" s="265" t="inlineStr">
        <is>
          <t>HINGE COMP, FRONT DOOR LOWER,R</t>
        </is>
      </c>
      <c r="D232" s="264" t="n"/>
      <c r="E232" s="266" t="n"/>
      <c r="F232" s="267" t="n">
        <v>133.5</v>
      </c>
      <c r="G232" s="267" t="inlineStr">
        <is>
          <t>N.A.</t>
        </is>
      </c>
      <c r="H232" s="267" t="n"/>
      <c r="I232" s="267" t="n"/>
      <c r="J232" s="264" t="n"/>
      <c r="K232" s="268" t="n"/>
      <c r="L232" s="264" t="n"/>
      <c r="M232" s="264" t="n"/>
      <c r="N232" s="264" t="n"/>
      <c r="O232" s="264" t="n"/>
      <c r="P232" s="264" t="n"/>
      <c r="Q232" s="264" t="n"/>
      <c r="R232" s="264" t="n"/>
      <c r="S232" s="264" t="n"/>
      <c r="T232" s="264" t="n"/>
      <c r="U232" s="264" t="n"/>
      <c r="V232" s="264" t="n"/>
      <c r="W232" s="264" t="n"/>
      <c r="X232" s="264" t="n"/>
      <c r="Y232" s="264" t="n"/>
    </row>
    <row r="233">
      <c r="A233" s="264" t="n"/>
      <c r="B233" s="265" t="n">
        <v>134</v>
      </c>
      <c r="C233" s="265" t="inlineStr">
        <is>
          <t>BUMPER FRONT(BLACK)</t>
        </is>
      </c>
      <c r="D233" s="264" t="n"/>
      <c r="E233" s="266" t="n"/>
      <c r="F233" s="267" t="n">
        <v>1889.5</v>
      </c>
      <c r="G233" s="267" t="inlineStr">
        <is>
          <t>N.A.</t>
        </is>
      </c>
      <c r="H233" s="267" t="n"/>
      <c r="I233" s="267" t="n"/>
      <c r="J233" s="264" t="n"/>
      <c r="K233" s="268" t="n"/>
      <c r="L233" s="264" t="n"/>
      <c r="M233" s="264" t="n"/>
      <c r="N233" s="264" t="n"/>
      <c r="O233" s="264" t="n"/>
      <c r="P233" s="264" t="n"/>
      <c r="Q233" s="264" t="n"/>
      <c r="R233" s="264" t="n"/>
      <c r="S233" s="264" t="n"/>
      <c r="T233" s="264" t="n"/>
      <c r="U233" s="264" t="n"/>
      <c r="V233" s="264" t="n"/>
      <c r="W233" s="264" t="n"/>
      <c r="X233" s="264" t="n"/>
      <c r="Y233" s="264" t="n"/>
    </row>
    <row r="234">
      <c r="A234" s="264" t="n"/>
      <c r="B234" s="265" t="n">
        <v>135</v>
      </c>
      <c r="C234" s="265" t="inlineStr">
        <is>
          <t>GRILLE, RADIATOR LOWER (BLACK)</t>
        </is>
      </c>
      <c r="D234" s="264" t="n"/>
      <c r="E234" s="266" t="n"/>
      <c r="F234" s="267" t="n">
        <v>553</v>
      </c>
      <c r="G234" s="267" t="inlineStr">
        <is>
          <t>N.A.</t>
        </is>
      </c>
      <c r="H234" s="267" t="n"/>
      <c r="I234" s="267" t="n"/>
      <c r="J234" s="264" t="n"/>
      <c r="K234" s="268" t="n"/>
      <c r="L234" s="264" t="n"/>
      <c r="M234" s="264" t="n"/>
      <c r="N234" s="264" t="n"/>
      <c r="O234" s="264" t="n"/>
      <c r="P234" s="264" t="n"/>
      <c r="Q234" s="264" t="n"/>
      <c r="R234" s="264" t="n"/>
      <c r="S234" s="264" t="n"/>
      <c r="T234" s="264" t="n"/>
      <c r="U234" s="264" t="n"/>
      <c r="V234" s="264" t="n"/>
      <c r="W234" s="264" t="n"/>
      <c r="X234" s="264" t="n"/>
      <c r="Y234" s="264" t="n"/>
    </row>
    <row r="235">
      <c r="A235" s="264" t="n"/>
      <c r="B235" s="265" t="n">
        <v>136</v>
      </c>
      <c r="C235" s="265" t="inlineStr">
        <is>
          <t>HOLDER, FR BUMPER SIDE,R</t>
        </is>
      </c>
      <c r="D235" s="264" t="n"/>
      <c r="E235" s="266" t="n"/>
      <c r="F235" s="267" t="n">
        <v>48.5</v>
      </c>
      <c r="G235" s="267" t="inlineStr">
        <is>
          <t>N.A.</t>
        </is>
      </c>
      <c r="H235" s="267" t="n"/>
      <c r="I235" s="267" t="n"/>
      <c r="J235" s="264" t="n"/>
      <c r="K235" s="268" t="n"/>
      <c r="L235" s="264" t="n"/>
      <c r="M235" s="264" t="n"/>
      <c r="N235" s="264" t="n"/>
      <c r="O235" s="264" t="n"/>
      <c r="P235" s="264" t="n"/>
      <c r="Q235" s="264" t="n"/>
      <c r="R235" s="264" t="n"/>
      <c r="S235" s="264" t="n"/>
      <c r="T235" s="264" t="n"/>
      <c r="U235" s="264" t="n"/>
      <c r="V235" s="264" t="n"/>
      <c r="W235" s="264" t="n"/>
      <c r="X235" s="264" t="n"/>
      <c r="Y235" s="264" t="n"/>
    </row>
    <row r="236">
      <c r="A236" s="264" t="n"/>
      <c r="B236" s="265" t="n">
        <v>137</v>
      </c>
      <c r="C236" s="265" t="inlineStr">
        <is>
          <t>HOLDER, FR BUMPER SIDE,L</t>
        </is>
      </c>
      <c r="D236" s="264" t="n"/>
      <c r="E236" s="266" t="n"/>
      <c r="F236" s="267" t="n">
        <v>48.5</v>
      </c>
      <c r="G236" s="267" t="inlineStr">
        <is>
          <t>N.A.</t>
        </is>
      </c>
      <c r="H236" s="267" t="n"/>
      <c r="I236" s="267" t="n"/>
      <c r="J236" s="264" t="n"/>
      <c r="K236" s="268" t="n"/>
      <c r="L236" s="264" t="n"/>
      <c r="M236" s="264" t="n"/>
      <c r="N236" s="264" t="n"/>
      <c r="O236" s="264" t="n"/>
      <c r="P236" s="264" t="n"/>
      <c r="Q236" s="264" t="n"/>
      <c r="R236" s="264" t="n"/>
      <c r="S236" s="264" t="n"/>
      <c r="T236" s="264" t="n"/>
      <c r="U236" s="264" t="n"/>
      <c r="V236" s="264" t="n"/>
      <c r="W236" s="264" t="n"/>
      <c r="X236" s="264" t="n"/>
      <c r="Y236" s="264" t="n"/>
    </row>
    <row r="237">
      <c r="A237" s="264" t="n"/>
      <c r="B237" s="265" t="n">
        <v>138</v>
      </c>
      <c r="C237" s="265" t="inlineStr">
        <is>
          <t>BEZEL, FRONT FOG LAMP,R</t>
        </is>
      </c>
      <c r="D237" s="264" t="n"/>
      <c r="E237" s="266" t="n"/>
      <c r="F237" s="267" t="n">
        <v>115</v>
      </c>
      <c r="G237" s="267" t="inlineStr">
        <is>
          <t>N.A.</t>
        </is>
      </c>
      <c r="H237" s="267" t="n"/>
      <c r="I237" s="267" t="n"/>
      <c r="J237" s="264" t="n"/>
      <c r="K237" s="268" t="n"/>
      <c r="L237" s="264" t="n"/>
      <c r="M237" s="264" t="n"/>
      <c r="N237" s="264" t="n"/>
      <c r="O237" s="264" t="n"/>
      <c r="P237" s="264" t="n"/>
      <c r="Q237" s="264" t="n"/>
      <c r="R237" s="264" t="n"/>
      <c r="S237" s="264" t="n"/>
      <c r="T237" s="264" t="n"/>
      <c r="U237" s="264" t="n"/>
      <c r="V237" s="264" t="n"/>
      <c r="W237" s="264" t="n"/>
      <c r="X237" s="264" t="n"/>
      <c r="Y237" s="264" t="n"/>
    </row>
    <row r="238">
      <c r="A238" s="264" t="n"/>
      <c r="B238" s="265" t="n">
        <v>139</v>
      </c>
      <c r="C238" s="265" t="inlineStr">
        <is>
          <t>BEZEL, FRONT FOG LAMP, L</t>
        </is>
      </c>
      <c r="D238" s="264" t="n"/>
      <c r="E238" s="266" t="n"/>
      <c r="F238" s="267" t="n">
        <v>115</v>
      </c>
      <c r="G238" s="267" t="inlineStr">
        <is>
          <t>N.A.</t>
        </is>
      </c>
      <c r="H238" s="267" t="n"/>
      <c r="I238" s="267" t="n"/>
      <c r="J238" s="264" t="n"/>
      <c r="K238" s="268" t="n"/>
      <c r="L238" s="264" t="n"/>
      <c r="M238" s="264" t="n"/>
      <c r="N238" s="264" t="n"/>
      <c r="O238" s="264" t="n"/>
      <c r="P238" s="264" t="n"/>
      <c r="Q238" s="264" t="n"/>
      <c r="R238" s="264" t="n"/>
      <c r="S238" s="264" t="n"/>
      <c r="T238" s="264" t="n"/>
      <c r="U238" s="264" t="n"/>
      <c r="V238" s="264" t="n"/>
      <c r="W238" s="264" t="n"/>
      <c r="X238" s="264" t="n"/>
      <c r="Y238" s="264" t="n"/>
    </row>
    <row r="239">
      <c r="A239" s="264" t="n"/>
      <c r="B239" s="265" t="n">
        <v>140</v>
      </c>
      <c r="C239" s="265" t="inlineStr">
        <is>
          <t>GUIDE, GRILLE AIR</t>
        </is>
      </c>
      <c r="D239" s="264" t="n"/>
      <c r="E239" s="266" t="n"/>
      <c r="F239" s="267" t="n">
        <v>608</v>
      </c>
      <c r="G239" s="267" t="inlineStr">
        <is>
          <t>N.A.</t>
        </is>
      </c>
      <c r="H239" s="267" t="n"/>
      <c r="I239" s="267" t="n"/>
      <c r="J239" s="264" t="n"/>
      <c r="K239" s="268" t="n"/>
      <c r="L239" s="264" t="n"/>
      <c r="M239" s="264" t="n"/>
      <c r="N239" s="264" t="n"/>
      <c r="O239" s="264" t="n"/>
      <c r="P239" s="264" t="n"/>
      <c r="Q239" s="264" t="n"/>
      <c r="R239" s="264" t="n"/>
      <c r="S239" s="264" t="n"/>
      <c r="T239" s="264" t="n"/>
      <c r="U239" s="264" t="n"/>
      <c r="V239" s="264" t="n"/>
      <c r="W239" s="264" t="n"/>
      <c r="X239" s="264" t="n"/>
      <c r="Y239" s="264" t="n"/>
    </row>
    <row r="240">
      <c r="A240" s="264" t="n"/>
      <c r="B240" s="265" t="n">
        <v>141</v>
      </c>
      <c r="C240" s="265" t="inlineStr">
        <is>
          <t>COVER, FRONT FOG LAMP BEZEL</t>
        </is>
      </c>
      <c r="D240" s="264" t="n"/>
      <c r="E240" s="266" t="n"/>
      <c r="F240" s="267" t="n">
        <v>41</v>
      </c>
      <c r="G240" s="267" t="inlineStr">
        <is>
          <t>N.A.</t>
        </is>
      </c>
      <c r="H240" s="267" t="n"/>
      <c r="I240" s="267" t="n"/>
      <c r="J240" s="264" t="n"/>
      <c r="K240" s="268" t="n"/>
      <c r="L240" s="264" t="n"/>
      <c r="M240" s="264" t="n"/>
      <c r="N240" s="264" t="n"/>
      <c r="O240" s="264" t="n"/>
      <c r="P240" s="264" t="n"/>
      <c r="Q240" s="264" t="n"/>
      <c r="R240" s="264" t="n"/>
      <c r="S240" s="264" t="n"/>
      <c r="T240" s="264" t="n"/>
      <c r="U240" s="264" t="n"/>
      <c r="V240" s="264" t="n"/>
      <c r="W240" s="264" t="n"/>
      <c r="X240" s="264" t="n"/>
      <c r="Y240" s="264" t="n"/>
    </row>
    <row r="241">
      <c r="A241" s="264" t="n"/>
      <c r="B241" s="265" t="n">
        <v>142</v>
      </c>
      <c r="C241" s="265" t="inlineStr">
        <is>
          <t>GRILLE, RADIATOR UPPER</t>
        </is>
      </c>
      <c r="D241" s="264" t="n"/>
      <c r="E241" s="266" t="n"/>
      <c r="F241" s="267" t="n">
        <v>1673</v>
      </c>
      <c r="G241" s="267" t="inlineStr">
        <is>
          <t>N.A.</t>
        </is>
      </c>
      <c r="H241" s="267" t="n"/>
      <c r="I241" s="267" t="n"/>
      <c r="J241" s="264" t="n"/>
      <c r="K241" s="268" t="n"/>
      <c r="L241" s="264" t="n"/>
      <c r="M241" s="264" t="n"/>
      <c r="N241" s="264" t="n"/>
      <c r="O241" s="264" t="n"/>
      <c r="P241" s="264" t="n"/>
      <c r="Q241" s="264" t="n"/>
      <c r="R241" s="264" t="n"/>
      <c r="S241" s="264" t="n"/>
      <c r="T241" s="264" t="n"/>
      <c r="U241" s="264" t="n"/>
      <c r="V241" s="264" t="n"/>
      <c r="W241" s="264" t="n"/>
      <c r="X241" s="264" t="n"/>
      <c r="Y241" s="264" t="n"/>
    </row>
    <row r="242">
      <c r="A242" s="264" t="n"/>
      <c r="B242" s="265" t="n">
        <v>143</v>
      </c>
      <c r="C242" s="265" t="inlineStr">
        <is>
          <t>COVER, RADIATOR UPPER GRILLE</t>
        </is>
      </c>
      <c r="D242" s="264" t="n"/>
      <c r="E242" s="266" t="n"/>
      <c r="F242" s="267" t="n">
        <v>244</v>
      </c>
      <c r="G242" s="267" t="inlineStr">
        <is>
          <t>N.A.</t>
        </is>
      </c>
      <c r="H242" s="267" t="n"/>
      <c r="I242" s="267" t="n"/>
      <c r="J242" s="264" t="n"/>
      <c r="K242" s="268" t="n"/>
      <c r="L242" s="264" t="n"/>
      <c r="M242" s="264" t="n"/>
      <c r="N242" s="264" t="n"/>
      <c r="O242" s="264" t="n"/>
      <c r="P242" s="264" t="n"/>
      <c r="Q242" s="264" t="n"/>
      <c r="R242" s="264" t="n"/>
      <c r="S242" s="264" t="n"/>
      <c r="T242" s="264" t="n"/>
      <c r="U242" s="264" t="n"/>
      <c r="V242" s="264" t="n"/>
      <c r="W242" s="264" t="n"/>
      <c r="X242" s="264" t="n"/>
      <c r="Y242" s="264" t="n"/>
    </row>
    <row r="243">
      <c r="A243" s="264" t="n"/>
      <c r="B243" s="265" t="n">
        <v>144</v>
      </c>
      <c r="C243" s="265" t="inlineStr">
        <is>
          <t>GARNISH, RADIATOR GRILLE RH</t>
        </is>
      </c>
      <c r="D243" s="264" t="n"/>
      <c r="E243" s="266" t="n"/>
      <c r="F243" s="267" t="n">
        <v>359.5</v>
      </c>
      <c r="G243" s="267" t="inlineStr">
        <is>
          <t>N.A.</t>
        </is>
      </c>
      <c r="H243" s="267" t="n"/>
      <c r="I243" s="267" t="n"/>
      <c r="J243" s="264" t="n"/>
      <c r="K243" s="268" t="n"/>
      <c r="L243" s="264" t="n"/>
      <c r="M243" s="264" t="n"/>
      <c r="N243" s="264" t="n"/>
      <c r="O243" s="264" t="n"/>
      <c r="P243" s="264" t="n"/>
      <c r="Q243" s="264" t="n"/>
      <c r="R243" s="264" t="n"/>
      <c r="S243" s="264" t="n"/>
      <c r="T243" s="264" t="n"/>
      <c r="U243" s="264" t="n"/>
      <c r="V243" s="264" t="n"/>
      <c r="W243" s="264" t="n"/>
      <c r="X243" s="264" t="n"/>
      <c r="Y243" s="264" t="n"/>
    </row>
    <row r="244">
      <c r="A244" s="264" t="n"/>
      <c r="B244" s="265" t="n">
        <v>145</v>
      </c>
      <c r="C244" s="265" t="inlineStr">
        <is>
          <t>GARNISH, RADIATOR GRILLE LH</t>
        </is>
      </c>
      <c r="D244" s="264" t="n"/>
      <c r="E244" s="266" t="n"/>
      <c r="F244" s="267" t="n">
        <v>359.5</v>
      </c>
      <c r="G244" s="267" t="inlineStr">
        <is>
          <t>N.A.</t>
        </is>
      </c>
      <c r="H244" s="267" t="n"/>
      <c r="I244" s="267" t="n"/>
      <c r="J244" s="264" t="n"/>
      <c r="K244" s="268" t="n"/>
      <c r="L244" s="264" t="n"/>
      <c r="M244" s="264" t="n"/>
      <c r="N244" s="264" t="n"/>
      <c r="O244" s="264" t="n"/>
      <c r="P244" s="264" t="n"/>
      <c r="Q244" s="264" t="n"/>
      <c r="R244" s="264" t="n"/>
      <c r="S244" s="264" t="n"/>
      <c r="T244" s="264" t="n"/>
      <c r="U244" s="264" t="n"/>
      <c r="V244" s="264" t="n"/>
      <c r="W244" s="264" t="n"/>
      <c r="X244" s="264" t="n"/>
      <c r="Y244" s="264" t="n"/>
    </row>
    <row r="245">
      <c r="A245" s="264" t="n"/>
      <c r="B245" s="265" t="n">
        <v>146</v>
      </c>
      <c r="C245" s="265" t="inlineStr">
        <is>
          <t>STAY, FRONT HOOD</t>
        </is>
      </c>
      <c r="D245" s="264" t="n"/>
      <c r="E245" s="266" t="n"/>
      <c r="F245" s="267" t="n">
        <v>24.5</v>
      </c>
      <c r="G245" s="267" t="inlineStr">
        <is>
          <t>N.A.</t>
        </is>
      </c>
      <c r="H245" s="267" t="n"/>
      <c r="I245" s="267" t="n"/>
      <c r="J245" s="264" t="n"/>
      <c r="K245" s="268" t="n"/>
      <c r="L245" s="264" t="n"/>
      <c r="M245" s="264" t="n"/>
      <c r="N245" s="264" t="n"/>
      <c r="O245" s="264" t="n"/>
      <c r="P245" s="264" t="n"/>
      <c r="Q245" s="264" t="n"/>
      <c r="R245" s="264" t="n"/>
      <c r="S245" s="264" t="n"/>
      <c r="T245" s="264" t="n"/>
      <c r="U245" s="264" t="n"/>
      <c r="V245" s="264" t="n"/>
      <c r="W245" s="264" t="n"/>
      <c r="X245" s="264" t="n"/>
      <c r="Y245" s="264" t="n"/>
    </row>
    <row r="246">
      <c r="A246" s="264" t="n"/>
      <c r="B246" s="265" t="n">
        <v>147</v>
      </c>
      <c r="C246" s="265" t="inlineStr">
        <is>
          <t>LINING, FRONT FENDER,R</t>
        </is>
      </c>
      <c r="D246" s="264" t="n"/>
      <c r="E246" s="266" t="n"/>
      <c r="F246" s="267" t="n">
        <v>405.5</v>
      </c>
      <c r="G246" s="267" t="inlineStr">
        <is>
          <t>N.A.</t>
        </is>
      </c>
      <c r="H246" s="267" t="n"/>
      <c r="I246" s="267" t="n"/>
      <c r="J246" s="264" t="n"/>
      <c r="K246" s="268" t="n"/>
      <c r="L246" s="264" t="n"/>
      <c r="M246" s="264" t="n"/>
      <c r="N246" s="264" t="n"/>
      <c r="O246" s="264" t="n"/>
      <c r="P246" s="264" t="n"/>
      <c r="Q246" s="264" t="n"/>
      <c r="R246" s="264" t="n"/>
      <c r="S246" s="264" t="n"/>
      <c r="T246" s="264" t="n"/>
      <c r="U246" s="264" t="n"/>
      <c r="V246" s="264" t="n"/>
      <c r="W246" s="264" t="n"/>
      <c r="X246" s="264" t="n"/>
      <c r="Y246" s="264" t="n"/>
    </row>
    <row r="247">
      <c r="A247" s="264" t="n"/>
      <c r="B247" s="265" t="n">
        <v>148</v>
      </c>
      <c r="C247" s="265" t="inlineStr">
        <is>
          <t>LINING, FRONT FENDER,L</t>
        </is>
      </c>
      <c r="D247" s="264" t="n"/>
      <c r="E247" s="266" t="n"/>
      <c r="F247" s="267" t="n">
        <v>405.5</v>
      </c>
      <c r="G247" s="267" t="inlineStr">
        <is>
          <t>N.A.</t>
        </is>
      </c>
      <c r="H247" s="267" t="n"/>
      <c r="I247" s="267" t="n"/>
      <c r="J247" s="264" t="n"/>
      <c r="K247" s="268" t="n"/>
      <c r="L247" s="264" t="n"/>
      <c r="M247" s="264" t="n"/>
      <c r="N247" s="264" t="n"/>
      <c r="O247" s="264" t="n"/>
      <c r="P247" s="264" t="n"/>
      <c r="Q247" s="264" t="n"/>
      <c r="R247" s="264" t="n"/>
      <c r="S247" s="264" t="n"/>
      <c r="T247" s="264" t="n"/>
      <c r="U247" s="264" t="n"/>
      <c r="V247" s="264" t="n"/>
      <c r="W247" s="264" t="n"/>
      <c r="X247" s="264" t="n"/>
      <c r="Y247" s="264" t="n"/>
    </row>
    <row r="248">
      <c r="A248" s="264" t="n"/>
      <c r="B248" s="265" t="n">
        <v>149</v>
      </c>
      <c r="C248" s="265" t="inlineStr">
        <is>
          <t>GARNISH COMP, COWL TOP CTR</t>
        </is>
      </c>
      <c r="D248" s="264" t="n"/>
      <c r="E248" s="266" t="n"/>
      <c r="F248" s="267" t="n">
        <v>636</v>
      </c>
      <c r="G248" s="267" t="inlineStr">
        <is>
          <t>N.A.</t>
        </is>
      </c>
      <c r="H248" s="267" t="n"/>
      <c r="I248" s="267" t="n"/>
      <c r="J248" s="264" t="n"/>
      <c r="K248" s="268" t="n"/>
      <c r="L248" s="264" t="n"/>
      <c r="M248" s="264" t="n"/>
      <c r="N248" s="264" t="n"/>
      <c r="O248" s="264" t="n"/>
      <c r="P248" s="264" t="n"/>
      <c r="Q248" s="264" t="n"/>
      <c r="R248" s="264" t="n"/>
      <c r="S248" s="264" t="n"/>
      <c r="T248" s="264" t="n"/>
      <c r="U248" s="264" t="n"/>
      <c r="V248" s="264" t="n"/>
      <c r="W248" s="264" t="n"/>
      <c r="X248" s="264" t="n"/>
      <c r="Y248" s="264" t="n"/>
    </row>
    <row r="249">
      <c r="A249" s="264" t="n"/>
      <c r="B249" s="265" t="n">
        <v>150</v>
      </c>
      <c r="C249" s="265" t="inlineStr">
        <is>
          <t>GARNISH, COWL TOP SIDE RH</t>
        </is>
      </c>
      <c r="D249" s="264" t="n"/>
      <c r="E249" s="266" t="n"/>
      <c r="F249" s="267" t="n">
        <v>14.5</v>
      </c>
      <c r="G249" s="267" t="inlineStr">
        <is>
          <t>N.A.</t>
        </is>
      </c>
      <c r="H249" s="267" t="n"/>
      <c r="I249" s="267" t="n"/>
      <c r="J249" s="264" t="n"/>
      <c r="K249" s="268" t="n"/>
      <c r="L249" s="264" t="n"/>
      <c r="M249" s="264" t="n"/>
      <c r="N249" s="264" t="n"/>
      <c r="O249" s="264" t="n"/>
      <c r="P249" s="264" t="n"/>
      <c r="Q249" s="264" t="n"/>
      <c r="R249" s="264" t="n"/>
      <c r="S249" s="264" t="n"/>
      <c r="T249" s="264" t="n"/>
      <c r="U249" s="264" t="n"/>
      <c r="V249" s="264" t="n"/>
      <c r="W249" s="264" t="n"/>
      <c r="X249" s="264" t="n"/>
      <c r="Y249" s="264" t="n"/>
    </row>
    <row r="250">
      <c r="A250" s="264" t="n"/>
      <c r="B250" s="265" t="n">
        <v>151</v>
      </c>
      <c r="C250" s="265" t="inlineStr">
        <is>
          <t>GARNISH, COWL TOP SIDE LH</t>
        </is>
      </c>
      <c r="D250" s="264" t="n"/>
      <c r="E250" s="266" t="n"/>
      <c r="F250" s="267" t="n">
        <v>14.5</v>
      </c>
      <c r="G250" s="267" t="inlineStr">
        <is>
          <t>N.A.</t>
        </is>
      </c>
      <c r="H250" s="267" t="n"/>
      <c r="I250" s="267" t="n"/>
      <c r="J250" s="264" t="n"/>
      <c r="K250" s="268" t="n"/>
      <c r="L250" s="264" t="n"/>
      <c r="M250" s="264" t="n"/>
      <c r="N250" s="264" t="n"/>
      <c r="O250" s="264" t="n"/>
      <c r="P250" s="264" t="n"/>
      <c r="Q250" s="264" t="n"/>
      <c r="R250" s="264" t="n"/>
      <c r="S250" s="264" t="n"/>
      <c r="T250" s="264" t="n"/>
      <c r="U250" s="264" t="n"/>
      <c r="V250" s="264" t="n"/>
      <c r="W250" s="264" t="n"/>
      <c r="X250" s="264" t="n"/>
      <c r="Y250" s="264" t="n"/>
    </row>
    <row r="251">
      <c r="A251" s="264" t="n"/>
      <c r="B251" s="265" t="n">
        <v>152</v>
      </c>
      <c r="C251" s="265" t="inlineStr">
        <is>
          <t>CROSSMEMBER COMP, FRONT LOWER</t>
        </is>
      </c>
      <c r="D251" s="264" t="n"/>
      <c r="E251" s="266" t="n"/>
      <c r="F251" s="267" t="n">
        <v>608</v>
      </c>
      <c r="G251" s="267" t="inlineStr">
        <is>
          <t>N.A.</t>
        </is>
      </c>
      <c r="H251" s="267" t="n"/>
      <c r="I251" s="267" t="n"/>
      <c r="J251" s="264" t="n"/>
      <c r="K251" s="268" t="n"/>
      <c r="L251" s="264" t="n"/>
      <c r="M251" s="264" t="n"/>
      <c r="N251" s="264" t="n"/>
      <c r="O251" s="264" t="n"/>
      <c r="P251" s="264" t="n"/>
      <c r="Q251" s="264" t="n"/>
      <c r="R251" s="264" t="n"/>
      <c r="S251" s="264" t="n"/>
      <c r="T251" s="264" t="n"/>
      <c r="U251" s="264" t="n"/>
      <c r="V251" s="264" t="n"/>
      <c r="W251" s="264" t="n"/>
      <c r="X251" s="264" t="n"/>
      <c r="Y251" s="264" t="n"/>
    </row>
    <row r="252">
      <c r="A252" s="264" t="n"/>
      <c r="B252" s="265" t="n">
        <v>153</v>
      </c>
      <c r="C252" s="265" t="inlineStr">
        <is>
          <t>COVER, FRONT FENDER,R</t>
        </is>
      </c>
      <c r="D252" s="264" t="n"/>
      <c r="E252" s="266" t="n"/>
      <c r="F252" s="267" t="n">
        <v>119.5</v>
      </c>
      <c r="G252" s="267" t="inlineStr">
        <is>
          <t>N.A.</t>
        </is>
      </c>
      <c r="H252" s="267" t="n"/>
      <c r="I252" s="267" t="n"/>
      <c r="J252" s="264" t="n"/>
      <c r="K252" s="268" t="n"/>
      <c r="L252" s="264" t="n"/>
      <c r="M252" s="264" t="n"/>
      <c r="N252" s="264" t="n"/>
      <c r="O252" s="264" t="n"/>
      <c r="P252" s="264" t="n"/>
      <c r="Q252" s="264" t="n"/>
      <c r="R252" s="264" t="n"/>
      <c r="S252" s="264" t="n"/>
      <c r="T252" s="264" t="n"/>
      <c r="U252" s="264" t="n"/>
      <c r="V252" s="264" t="n"/>
      <c r="W252" s="264" t="n"/>
      <c r="X252" s="264" t="n"/>
      <c r="Y252" s="264" t="n"/>
    </row>
    <row r="253">
      <c r="A253" s="264" t="n"/>
      <c r="B253" s="265" t="n">
        <v>154</v>
      </c>
      <c r="C253" s="265" t="inlineStr">
        <is>
          <t>GARNISH, FRONT HOOD,RH</t>
        </is>
      </c>
      <c r="D253" s="264" t="n"/>
      <c r="E253" s="266" t="n"/>
      <c r="F253" s="267" t="n">
        <v>63.5</v>
      </c>
      <c r="G253" s="267" t="inlineStr">
        <is>
          <t>N.A.</t>
        </is>
      </c>
      <c r="H253" s="267" t="n"/>
      <c r="I253" s="267" t="n"/>
      <c r="J253" s="264" t="n"/>
      <c r="K253" s="268" t="n"/>
      <c r="L253" s="264" t="n"/>
      <c r="M253" s="264" t="n"/>
      <c r="N253" s="264" t="n"/>
      <c r="O253" s="264" t="n"/>
      <c r="P253" s="264" t="n"/>
      <c r="Q253" s="264" t="n"/>
      <c r="R253" s="264" t="n"/>
      <c r="S253" s="264" t="n"/>
      <c r="T253" s="264" t="n"/>
      <c r="U253" s="264" t="n"/>
      <c r="V253" s="264" t="n"/>
      <c r="W253" s="264" t="n"/>
      <c r="X253" s="264" t="n"/>
      <c r="Y253" s="264" t="n"/>
    </row>
    <row r="254">
      <c r="A254" s="264" t="n"/>
      <c r="B254" s="265" t="n">
        <v>155</v>
      </c>
      <c r="C254" s="265" t="inlineStr">
        <is>
          <t>GARNISH, FRONT HOOD, LH</t>
        </is>
      </c>
      <c r="D254" s="264" t="n"/>
      <c r="E254" s="266" t="n"/>
      <c r="F254" s="267" t="n">
        <v>63.5</v>
      </c>
      <c r="G254" s="267" t="inlineStr">
        <is>
          <t>N.A.</t>
        </is>
      </c>
      <c r="H254" s="267" t="n"/>
      <c r="I254" s="267" t="n"/>
      <c r="J254" s="264" t="n"/>
      <c r="K254" s="268" t="n"/>
      <c r="L254" s="264" t="n"/>
      <c r="M254" s="264" t="n"/>
      <c r="N254" s="264" t="n"/>
      <c r="O254" s="264" t="n"/>
      <c r="P254" s="264" t="n"/>
      <c r="Q254" s="264" t="n"/>
      <c r="R254" s="264" t="n"/>
      <c r="S254" s="264" t="n"/>
      <c r="T254" s="264" t="n"/>
      <c r="U254" s="264" t="n"/>
      <c r="V254" s="264" t="n"/>
      <c r="W254" s="264" t="n"/>
      <c r="X254" s="264" t="n"/>
      <c r="Y254" s="264" t="n"/>
    </row>
    <row r="255">
      <c r="A255" s="264" t="n"/>
      <c r="B255" s="265" t="n">
        <v>156</v>
      </c>
      <c r="C255" s="265" t="inlineStr">
        <is>
          <t>SILENCER COMP, FRONT HOOD</t>
        </is>
      </c>
      <c r="D255" s="264" t="n"/>
      <c r="E255" s="266" t="n"/>
      <c r="F255" s="267" t="n">
        <v>377.5</v>
      </c>
      <c r="G255" s="267" t="inlineStr">
        <is>
          <t>N.A.</t>
        </is>
      </c>
      <c r="H255" s="267" t="n"/>
      <c r="I255" s="267" t="n"/>
      <c r="J255" s="264" t="n"/>
      <c r="K255" s="268" t="n"/>
      <c r="L255" s="264" t="n"/>
      <c r="M255" s="264" t="n"/>
      <c r="N255" s="264" t="n"/>
      <c r="O255" s="264" t="n"/>
      <c r="P255" s="264" t="n"/>
      <c r="Q255" s="264" t="n"/>
      <c r="R255" s="264" t="n"/>
      <c r="S255" s="264" t="n"/>
      <c r="T255" s="264" t="n"/>
      <c r="U255" s="264" t="n"/>
      <c r="V255" s="264" t="n"/>
      <c r="W255" s="264" t="n"/>
      <c r="X255" s="264" t="n"/>
      <c r="Y255" s="264" t="n"/>
    </row>
    <row r="256">
      <c r="A256" s="264" t="n"/>
      <c r="B256" s="265" t="n">
        <v>157</v>
      </c>
      <c r="C256" s="265" t="inlineStr">
        <is>
          <t>ABSORBER, FR BUMPER LWR,RH</t>
        </is>
      </c>
      <c r="D256" s="264" t="n"/>
      <c r="E256" s="266" t="n"/>
      <c r="F256" s="267" t="n">
        <v>124</v>
      </c>
      <c r="G256" s="267" t="inlineStr">
        <is>
          <t>N.A.</t>
        </is>
      </c>
      <c r="H256" s="267" t="n"/>
      <c r="I256" s="267" t="n"/>
      <c r="J256" s="264" t="n"/>
      <c r="K256" s="268" t="n"/>
      <c r="L256" s="264" t="n"/>
      <c r="M256" s="264" t="n"/>
      <c r="N256" s="264" t="n"/>
      <c r="O256" s="264" t="n"/>
      <c r="P256" s="264" t="n"/>
      <c r="Q256" s="264" t="n"/>
      <c r="R256" s="264" t="n"/>
      <c r="S256" s="264" t="n"/>
      <c r="T256" s="264" t="n"/>
      <c r="U256" s="264" t="n"/>
      <c r="V256" s="264" t="n"/>
      <c r="W256" s="264" t="n"/>
      <c r="X256" s="264" t="n"/>
      <c r="Y256" s="264" t="n"/>
    </row>
    <row r="257">
      <c r="A257" s="264" t="n"/>
      <c r="B257" s="265" t="n">
        <v>158</v>
      </c>
      <c r="C257" s="265" t="inlineStr">
        <is>
          <t>ABSORBER, FR BUMPER LWR,LH</t>
        </is>
      </c>
      <c r="D257" s="264" t="n"/>
      <c r="E257" s="266" t="n"/>
      <c r="F257" s="267" t="n">
        <v>124</v>
      </c>
      <c r="G257" s="267" t="inlineStr">
        <is>
          <t>N.A.</t>
        </is>
      </c>
      <c r="H257" s="267" t="n"/>
      <c r="I257" s="267" t="n"/>
      <c r="J257" s="264" t="n"/>
      <c r="K257" s="268" t="n"/>
      <c r="L257" s="264" t="n"/>
      <c r="M257" s="264" t="n"/>
      <c r="N257" s="264" t="n"/>
      <c r="O257" s="264" t="n"/>
      <c r="P257" s="264" t="n"/>
      <c r="Q257" s="264" t="n"/>
      <c r="R257" s="264" t="n"/>
      <c r="S257" s="264" t="n"/>
      <c r="T257" s="264" t="n"/>
      <c r="U257" s="264" t="n"/>
      <c r="V257" s="264" t="n"/>
      <c r="W257" s="264" t="n"/>
      <c r="X257" s="264" t="n"/>
      <c r="Y257" s="264" t="n"/>
    </row>
    <row r="258">
      <c r="A258" s="264" t="n"/>
      <c r="B258" s="265" t="n">
        <v>159</v>
      </c>
      <c r="C258" s="265" t="inlineStr">
        <is>
          <t>TRAY, BATTERY</t>
        </is>
      </c>
      <c r="D258" s="264" t="n"/>
      <c r="E258" s="266" t="n"/>
      <c r="F258" s="267" t="n">
        <v>207</v>
      </c>
      <c r="G258" s="267" t="inlineStr">
        <is>
          <t>N.A.</t>
        </is>
      </c>
      <c r="H258" s="267" t="n"/>
      <c r="I258" s="267" t="n"/>
      <c r="J258" s="264" t="n"/>
      <c r="K258" s="268" t="n"/>
      <c r="L258" s="264" t="n"/>
      <c r="M258" s="264" t="n"/>
      <c r="N258" s="264" t="n"/>
      <c r="O258" s="264" t="n"/>
      <c r="P258" s="264" t="n"/>
      <c r="Q258" s="264" t="n"/>
      <c r="R258" s="264" t="n"/>
      <c r="S258" s="264" t="n"/>
      <c r="T258" s="264" t="n"/>
      <c r="U258" s="264" t="n"/>
      <c r="V258" s="264" t="n"/>
      <c r="W258" s="264" t="n"/>
      <c r="X258" s="264" t="n"/>
      <c r="Y258" s="264" t="n"/>
    </row>
    <row r="259">
      <c r="A259" s="264" t="n"/>
      <c r="B259" s="265" t="n">
        <v>160</v>
      </c>
      <c r="C259" s="265" t="inlineStr">
        <is>
          <t>PANEL INSTRUMENT MAIN</t>
        </is>
      </c>
      <c r="D259" s="264" t="n"/>
      <c r="E259" s="266" t="n"/>
      <c r="F259" s="267" t="n">
        <v>1101.5</v>
      </c>
      <c r="G259" s="267" t="inlineStr">
        <is>
          <t>N.A.</t>
        </is>
      </c>
      <c r="H259" s="267" t="n"/>
      <c r="I259" s="267" t="n"/>
      <c r="J259" s="264" t="n"/>
      <c r="K259" s="268" t="n"/>
      <c r="L259" s="264" t="n"/>
      <c r="M259" s="264" t="n"/>
      <c r="N259" s="264" t="n"/>
      <c r="O259" s="264" t="n"/>
      <c r="P259" s="264" t="n"/>
      <c r="Q259" s="264" t="n"/>
      <c r="R259" s="264" t="n"/>
      <c r="S259" s="264" t="n"/>
      <c r="T259" s="264" t="n"/>
      <c r="U259" s="264" t="n"/>
      <c r="V259" s="264" t="n"/>
      <c r="W259" s="264" t="n"/>
      <c r="X259" s="264" t="n"/>
      <c r="Y259" s="264" t="n"/>
    </row>
    <row r="260">
      <c r="A260" s="264" t="n"/>
      <c r="B260" s="265" t="n">
        <v>161</v>
      </c>
      <c r="C260" s="265" t="inlineStr">
        <is>
          <t>MEMBER COMP, STEERING SUPPORT</t>
        </is>
      </c>
      <c r="D260" s="264" t="n"/>
      <c r="E260" s="266" t="n"/>
      <c r="F260" s="267" t="n">
        <v>1078.5</v>
      </c>
      <c r="G260" s="267" t="inlineStr">
        <is>
          <t>N.A.</t>
        </is>
      </c>
      <c r="H260" s="267" t="n"/>
      <c r="I260" s="267" t="n"/>
      <c r="J260" s="264" t="n"/>
      <c r="K260" s="268" t="n"/>
      <c r="L260" s="264" t="n"/>
      <c r="M260" s="264" t="n"/>
      <c r="N260" s="264" t="n"/>
      <c r="O260" s="264" t="n"/>
      <c r="P260" s="264" t="n"/>
      <c r="Q260" s="264" t="n"/>
      <c r="R260" s="264" t="n"/>
      <c r="S260" s="264" t="n"/>
      <c r="T260" s="264" t="n"/>
      <c r="U260" s="264" t="n"/>
      <c r="V260" s="264" t="n"/>
      <c r="W260" s="264" t="n"/>
      <c r="X260" s="264" t="n"/>
      <c r="Y260" s="264" t="n"/>
    </row>
    <row r="261">
      <c r="A261" s="264" t="n"/>
      <c r="B261" s="265" t="n">
        <v>162</v>
      </c>
      <c r="C261" s="265" t="inlineStr">
        <is>
          <t>PANEL, INSTRUMENT CLUSTER</t>
        </is>
      </c>
      <c r="D261" s="264" t="n"/>
      <c r="E261" s="266" t="n"/>
      <c r="F261" s="267" t="n">
        <v>193.5</v>
      </c>
      <c r="G261" s="267" t="inlineStr">
        <is>
          <t>N.A.</t>
        </is>
      </c>
      <c r="H261" s="267" t="n"/>
      <c r="I261" s="267" t="n"/>
      <c r="J261" s="264" t="n"/>
      <c r="K261" s="268" t="n"/>
      <c r="L261" s="264" t="n"/>
      <c r="M261" s="264" t="n"/>
      <c r="N261" s="264" t="n"/>
      <c r="O261" s="264" t="n"/>
      <c r="P261" s="264" t="n"/>
      <c r="Q261" s="264" t="n"/>
      <c r="R261" s="264" t="n"/>
      <c r="S261" s="264" t="n"/>
      <c r="T261" s="264" t="n"/>
      <c r="U261" s="264" t="n"/>
      <c r="V261" s="264" t="n"/>
      <c r="W261" s="264" t="n"/>
      <c r="X261" s="264" t="n"/>
      <c r="Y261" s="264" t="n"/>
    </row>
    <row r="262">
      <c r="A262" s="264" t="n"/>
      <c r="B262" s="265" t="n">
        <v>163</v>
      </c>
      <c r="C262" s="265" t="inlineStr">
        <is>
          <t>PANEL, METER VISOR</t>
        </is>
      </c>
      <c r="D262" s="264" t="n"/>
      <c r="E262" s="266" t="n"/>
      <c r="F262" s="267" t="n">
        <v>230</v>
      </c>
      <c r="G262" s="267" t="inlineStr">
        <is>
          <t>N.A.</t>
        </is>
      </c>
      <c r="H262" s="267" t="n"/>
      <c r="I262" s="267" t="n"/>
      <c r="J262" s="264" t="n"/>
      <c r="K262" s="268" t="n"/>
      <c r="L262" s="264" t="n"/>
      <c r="M262" s="264" t="n"/>
      <c r="N262" s="264" t="n"/>
      <c r="O262" s="264" t="n"/>
      <c r="P262" s="264" t="n"/>
      <c r="Q262" s="264" t="n"/>
      <c r="R262" s="264" t="n"/>
      <c r="S262" s="264" t="n"/>
      <c r="T262" s="264" t="n"/>
      <c r="U262" s="264" t="n"/>
      <c r="V262" s="264" t="n"/>
      <c r="W262" s="264" t="n"/>
      <c r="X262" s="264" t="n"/>
      <c r="Y262" s="264" t="n"/>
    </row>
    <row r="263">
      <c r="A263" s="264" t="n"/>
      <c r="B263" s="265" t="n">
        <v>164</v>
      </c>
      <c r="C263" s="265" t="inlineStr">
        <is>
          <t>BOX COMP, GLOVE</t>
        </is>
      </c>
      <c r="D263" s="264" t="n"/>
      <c r="E263" s="266" t="n"/>
      <c r="F263" s="267" t="n">
        <v>562</v>
      </c>
      <c r="G263" s="267" t="inlineStr">
        <is>
          <t>N.A.</t>
        </is>
      </c>
      <c r="H263" s="267" t="n"/>
      <c r="I263" s="267" t="n"/>
      <c r="J263" s="264" t="n"/>
      <c r="K263" s="268" t="n"/>
      <c r="L263" s="264" t="n"/>
      <c r="M263" s="264" t="n"/>
      <c r="N263" s="264" t="n"/>
      <c r="O263" s="264" t="n"/>
      <c r="P263" s="264" t="n"/>
      <c r="Q263" s="264" t="n"/>
      <c r="R263" s="264" t="n"/>
      <c r="S263" s="264" t="n"/>
      <c r="T263" s="264" t="n"/>
      <c r="U263" s="264" t="n"/>
      <c r="V263" s="264" t="n"/>
      <c r="W263" s="264" t="n"/>
      <c r="X263" s="264" t="n"/>
      <c r="Y263" s="264" t="n"/>
    </row>
    <row r="264">
      <c r="A264" s="264" t="n"/>
      <c r="B264" s="265" t="n">
        <v>165</v>
      </c>
      <c r="C264" s="265" t="inlineStr">
        <is>
          <t>COVER, GLOVE BOX UPPER</t>
        </is>
      </c>
      <c r="D264" s="264" t="n"/>
      <c r="E264" s="266" t="n"/>
      <c r="F264" s="267" t="n">
        <v>216.5</v>
      </c>
      <c r="G264" s="267" t="inlineStr">
        <is>
          <t>N.A.</t>
        </is>
      </c>
      <c r="H264" s="267" t="n"/>
      <c r="I264" s="267" t="n"/>
      <c r="J264" s="264" t="n"/>
      <c r="K264" s="268" t="n"/>
      <c r="L264" s="264" t="n"/>
      <c r="M264" s="264" t="n"/>
      <c r="N264" s="264" t="n"/>
      <c r="O264" s="264" t="n"/>
      <c r="P264" s="264" t="n"/>
      <c r="Q264" s="264" t="n"/>
      <c r="R264" s="264" t="n"/>
      <c r="S264" s="264" t="n"/>
      <c r="T264" s="264" t="n"/>
      <c r="U264" s="264" t="n"/>
      <c r="V264" s="264" t="n"/>
      <c r="W264" s="264" t="n"/>
      <c r="X264" s="264" t="n"/>
      <c r="Y264" s="264" t="n"/>
    </row>
    <row r="265">
      <c r="A265" s="264" t="n"/>
      <c r="B265" s="265" t="n">
        <v>166</v>
      </c>
      <c r="C265" s="265" t="inlineStr">
        <is>
          <t>CASE, SERVICE MANUAL</t>
        </is>
      </c>
      <c r="D265" s="264" t="n"/>
      <c r="E265" s="266" t="n"/>
      <c r="F265" s="267" t="n">
        <v>198</v>
      </c>
      <c r="G265" s="267" t="inlineStr">
        <is>
          <t>N.A.</t>
        </is>
      </c>
      <c r="H265" s="267" t="n"/>
      <c r="I265" s="267" t="n"/>
      <c r="J265" s="264" t="n"/>
      <c r="K265" s="268" t="n"/>
      <c r="L265" s="264" t="n"/>
      <c r="M265" s="264" t="n"/>
      <c r="N265" s="264" t="n"/>
      <c r="O265" s="264" t="n"/>
      <c r="P265" s="264" t="n"/>
      <c r="Q265" s="264" t="n"/>
      <c r="R265" s="264" t="n"/>
      <c r="S265" s="264" t="n"/>
      <c r="T265" s="264" t="n"/>
      <c r="U265" s="264" t="n"/>
      <c r="V265" s="264" t="n"/>
      <c r="W265" s="264" t="n"/>
      <c r="X265" s="264" t="n"/>
      <c r="Y265" s="264" t="n"/>
    </row>
    <row r="266">
      <c r="A266" s="264" t="n"/>
      <c r="B266" s="265" t="n">
        <v>167</v>
      </c>
      <c r="C266" s="265" t="inlineStr">
        <is>
          <t>BASE, I/P CTR GARNISH</t>
        </is>
      </c>
      <c r="D266" s="264" t="n"/>
      <c r="E266" s="266" t="n"/>
      <c r="F266" s="267" t="n">
        <v>89</v>
      </c>
      <c r="G266" s="267" t="inlineStr">
        <is>
          <t>N.A.</t>
        </is>
      </c>
      <c r="H266" s="267" t="n"/>
      <c r="I266" s="267" t="n"/>
      <c r="J266" s="264" t="n"/>
      <c r="K266" s="268" t="n"/>
      <c r="L266" s="264" t="n"/>
      <c r="M266" s="264" t="n"/>
      <c r="N266" s="264" t="n"/>
      <c r="O266" s="264" t="n"/>
      <c r="P266" s="264" t="n"/>
      <c r="Q266" s="264" t="n"/>
      <c r="R266" s="264" t="n"/>
      <c r="S266" s="264" t="n"/>
      <c r="T266" s="264" t="n"/>
      <c r="U266" s="264" t="n"/>
      <c r="V266" s="264" t="n"/>
      <c r="W266" s="264" t="n"/>
      <c r="X266" s="264" t="n"/>
      <c r="Y266" s="264" t="n"/>
    </row>
    <row r="267">
      <c r="A267" s="264" t="n"/>
      <c r="B267" s="265" t="n">
        <v>168</v>
      </c>
      <c r="C267" s="265" t="inlineStr">
        <is>
          <t>GARNISH, I/P PASSENGER</t>
        </is>
      </c>
      <c r="D267" s="264" t="n"/>
      <c r="E267" s="266" t="n"/>
      <c r="F267" s="267" t="n">
        <v>133.5</v>
      </c>
      <c r="G267" s="267" t="inlineStr">
        <is>
          <t>N.A.</t>
        </is>
      </c>
      <c r="H267" s="267" t="n"/>
      <c r="I267" s="267" t="n"/>
      <c r="J267" s="264" t="n"/>
      <c r="K267" s="268" t="n"/>
      <c r="L267" s="264" t="n"/>
      <c r="M267" s="264" t="n"/>
      <c r="N267" s="264" t="n"/>
      <c r="O267" s="264" t="n"/>
      <c r="P267" s="264" t="n"/>
      <c r="Q267" s="264" t="n"/>
      <c r="R267" s="264" t="n"/>
      <c r="S267" s="264" t="n"/>
      <c r="T267" s="264" t="n"/>
      <c r="U267" s="264" t="n"/>
      <c r="V267" s="264" t="n"/>
      <c r="W267" s="264" t="n"/>
      <c r="X267" s="264" t="n"/>
      <c r="Y267" s="264" t="n"/>
    </row>
    <row r="268">
      <c r="A268" s="264" t="n"/>
      <c r="B268" s="265" t="n">
        <v>169</v>
      </c>
      <c r="C268" s="265" t="inlineStr">
        <is>
          <t>MODULE ASSY, PASSENGER AIR BAG</t>
        </is>
      </c>
      <c r="D268" s="264" t="n"/>
      <c r="E268" s="266" t="n"/>
      <c r="F268" s="267" t="n">
        <v>6079.5</v>
      </c>
      <c r="G268" s="267" t="inlineStr">
        <is>
          <t>N.A.</t>
        </is>
      </c>
      <c r="H268" s="267" t="n"/>
      <c r="I268" s="267" t="n"/>
      <c r="J268" s="264" t="n"/>
      <c r="K268" s="268" t="n"/>
      <c r="L268" s="264" t="n"/>
      <c r="M268" s="264" t="n"/>
      <c r="N268" s="264" t="n"/>
      <c r="O268" s="264" t="n"/>
      <c r="P268" s="264" t="n"/>
      <c r="Q268" s="264" t="n"/>
      <c r="R268" s="264" t="n"/>
      <c r="S268" s="264" t="n"/>
      <c r="T268" s="264" t="n"/>
      <c r="U268" s="264" t="n"/>
      <c r="V268" s="264" t="n"/>
      <c r="W268" s="264" t="n"/>
      <c r="X268" s="264" t="n"/>
      <c r="Y268" s="264" t="n"/>
    </row>
    <row r="269">
      <c r="A269" s="264" t="n"/>
      <c r="B269" s="265" t="n">
        <v>170</v>
      </c>
      <c r="C269" s="265" t="inlineStr">
        <is>
          <t>HVAC UNIT</t>
        </is>
      </c>
      <c r="D269" s="264" t="n"/>
      <c r="E269" s="266" t="n"/>
      <c r="F269" s="267" t="n">
        <v>12850.5</v>
      </c>
      <c r="G269" s="267" t="inlineStr">
        <is>
          <t>N.A.</t>
        </is>
      </c>
      <c r="H269" s="267" t="n"/>
      <c r="I269" s="267" t="n"/>
      <c r="J269" s="264" t="n"/>
      <c r="K269" s="268" t="n"/>
      <c r="L269" s="264" t="n"/>
      <c r="M269" s="264" t="n"/>
      <c r="N269" s="264" t="n"/>
      <c r="O269" s="264" t="n"/>
      <c r="P269" s="264" t="n"/>
      <c r="Q269" s="264" t="n"/>
      <c r="R269" s="264" t="n"/>
      <c r="S269" s="264" t="n"/>
      <c r="T269" s="264" t="n"/>
      <c r="U269" s="264" t="n"/>
      <c r="V269" s="264" t="n"/>
      <c r="W269" s="264" t="n"/>
      <c r="X269" s="264" t="n"/>
      <c r="Y269" s="264" t="n"/>
    </row>
    <row r="270">
      <c r="A270" s="264" t="n"/>
      <c r="B270" s="265" t="n">
        <v>171</v>
      </c>
      <c r="C270" s="265" t="inlineStr">
        <is>
          <t>CABLE, MODE CONTROL</t>
        </is>
      </c>
      <c r="D270" s="264" t="n"/>
      <c r="E270" s="266" t="n"/>
      <c r="F270" s="267" t="n">
        <v>63</v>
      </c>
      <c r="G270" s="267" t="inlineStr">
        <is>
          <t>N.A.</t>
        </is>
      </c>
      <c r="H270" s="267" t="n"/>
      <c r="I270" s="267" t="n"/>
      <c r="J270" s="264" t="n"/>
      <c r="K270" s="268" t="n"/>
      <c r="L270" s="264" t="n"/>
      <c r="M270" s="264" t="n"/>
      <c r="N270" s="264" t="n"/>
      <c r="O270" s="264" t="n"/>
      <c r="P270" s="264" t="n"/>
      <c r="Q270" s="264" t="n"/>
      <c r="R270" s="264" t="n"/>
      <c r="S270" s="264" t="n"/>
      <c r="T270" s="264" t="n"/>
      <c r="U270" s="264" t="n"/>
      <c r="V270" s="264" t="n"/>
      <c r="W270" s="264" t="n"/>
      <c r="X270" s="264" t="n"/>
      <c r="Y270" s="264" t="n"/>
    </row>
    <row r="271">
      <c r="A271" s="264" t="n"/>
      <c r="B271" s="265" t="n">
        <v>172</v>
      </c>
      <c r="C271" s="265" t="inlineStr">
        <is>
          <t>TRIM COMP, FRONT PILLAR,R</t>
        </is>
      </c>
      <c r="D271" s="264" t="n"/>
      <c r="E271" s="266" t="n"/>
      <c r="F271" s="267" t="n">
        <v>101</v>
      </c>
      <c r="G271" s="267" t="inlineStr">
        <is>
          <t>N.A.</t>
        </is>
      </c>
      <c r="H271" s="267" t="n"/>
      <c r="I271" s="267" t="n"/>
      <c r="J271" s="264" t="n"/>
      <c r="K271" s="268" t="n"/>
      <c r="L271" s="264" t="n"/>
      <c r="M271" s="264" t="n"/>
      <c r="N271" s="264" t="n"/>
      <c r="O271" s="264" t="n"/>
      <c r="P271" s="264" t="n"/>
      <c r="Q271" s="264" t="n"/>
      <c r="R271" s="264" t="n"/>
      <c r="S271" s="264" t="n"/>
      <c r="T271" s="264" t="n"/>
      <c r="U271" s="264" t="n"/>
      <c r="V271" s="264" t="n"/>
      <c r="W271" s="264" t="n"/>
      <c r="X271" s="264" t="n"/>
      <c r="Y271" s="264" t="n"/>
    </row>
    <row r="272">
      <c r="A272" s="264" t="n"/>
      <c r="B272" s="265" t="n">
        <v>173</v>
      </c>
      <c r="C272" s="265" t="inlineStr">
        <is>
          <t>TRIM, DASH SIDE RH (BLACK)</t>
        </is>
      </c>
      <c r="D272" s="264" t="n"/>
      <c r="E272" s="266" t="n"/>
      <c r="F272" s="267" t="n">
        <v>129</v>
      </c>
      <c r="G272" s="267" t="inlineStr">
        <is>
          <t>N.A.</t>
        </is>
      </c>
      <c r="H272" s="267" t="n"/>
      <c r="I272" s="267" t="n"/>
      <c r="J272" s="264" t="n"/>
      <c r="K272" s="268" t="n"/>
      <c r="L272" s="264" t="n"/>
      <c r="M272" s="264" t="n"/>
      <c r="N272" s="264" t="n"/>
      <c r="O272" s="264" t="n"/>
      <c r="P272" s="264" t="n"/>
      <c r="Q272" s="264" t="n"/>
      <c r="R272" s="264" t="n"/>
      <c r="S272" s="264" t="n"/>
      <c r="T272" s="264" t="n"/>
      <c r="U272" s="264" t="n"/>
      <c r="V272" s="264" t="n"/>
      <c r="W272" s="264" t="n"/>
      <c r="X272" s="264" t="n"/>
      <c r="Y272" s="264" t="n"/>
    </row>
    <row r="273">
      <c r="A273" s="264" t="n"/>
      <c r="B273" s="265" t="n">
        <v>174</v>
      </c>
      <c r="C273" s="265" t="inlineStr">
        <is>
          <t>SCUFF, SIDE SILL FRONT RH (BLACK)</t>
        </is>
      </c>
      <c r="D273" s="264" t="n"/>
      <c r="E273" s="266" t="n"/>
      <c r="F273" s="267" t="n">
        <v>61.5</v>
      </c>
      <c r="G273" s="267" t="inlineStr">
        <is>
          <t>N.A.</t>
        </is>
      </c>
      <c r="H273" s="267" t="n"/>
      <c r="I273" s="267" t="n"/>
      <c r="J273" s="264" t="n"/>
      <c r="K273" s="268" t="n"/>
      <c r="L273" s="264" t="n"/>
      <c r="M273" s="264" t="n"/>
      <c r="N273" s="264" t="n"/>
      <c r="O273" s="264" t="n"/>
      <c r="P273" s="264" t="n"/>
      <c r="Q273" s="264" t="n"/>
      <c r="R273" s="264" t="n"/>
      <c r="S273" s="264" t="n"/>
      <c r="T273" s="264" t="n"/>
      <c r="U273" s="264" t="n"/>
      <c r="V273" s="264" t="n"/>
      <c r="W273" s="264" t="n"/>
      <c r="X273" s="264" t="n"/>
      <c r="Y273" s="264" t="n"/>
    </row>
    <row r="274">
      <c r="A274" s="264" t="n"/>
      <c r="B274" s="265" t="n">
        <v>175</v>
      </c>
      <c r="C274" s="265" t="inlineStr">
        <is>
          <t>TRIM, CTR PILLAR LOWER,R</t>
        </is>
      </c>
      <c r="D274" s="264" t="n"/>
      <c r="E274" s="266" t="n"/>
      <c r="F274" s="267" t="n">
        <v>341</v>
      </c>
      <c r="G274" s="267" t="inlineStr">
        <is>
          <t>N.A.</t>
        </is>
      </c>
      <c r="H274" s="267" t="n"/>
      <c r="I274" s="267" t="n"/>
      <c r="J274" s="264" t="n"/>
      <c r="K274" s="268" t="n"/>
      <c r="L274" s="264" t="n"/>
      <c r="M274" s="264" t="n"/>
      <c r="N274" s="264" t="n"/>
      <c r="O274" s="264" t="n"/>
      <c r="P274" s="264" t="n"/>
      <c r="Q274" s="264" t="n"/>
      <c r="R274" s="264" t="n"/>
      <c r="S274" s="264" t="n"/>
      <c r="T274" s="264" t="n"/>
      <c r="U274" s="264" t="n"/>
      <c r="V274" s="264" t="n"/>
      <c r="W274" s="264" t="n"/>
      <c r="X274" s="264" t="n"/>
      <c r="Y274" s="264" t="n"/>
    </row>
    <row r="275">
      <c r="A275" s="264" t="n"/>
      <c r="B275" s="265" t="n">
        <v>176</v>
      </c>
      <c r="C275" s="265" t="inlineStr">
        <is>
          <t>TRIM COMP, QUARTER LOWER,R</t>
        </is>
      </c>
      <c r="D275" s="264" t="n"/>
      <c r="E275" s="266" t="n"/>
      <c r="F275" s="267" t="n">
        <v>857</v>
      </c>
      <c r="G275" s="267" t="inlineStr">
        <is>
          <t>N.A.</t>
        </is>
      </c>
      <c r="H275" s="267" t="n"/>
      <c r="I275" s="267" t="n"/>
      <c r="J275" s="264" t="n"/>
      <c r="K275" s="268" t="n"/>
      <c r="L275" s="264" t="n"/>
      <c r="M275" s="264" t="n"/>
      <c r="N275" s="264" t="n"/>
      <c r="O275" s="264" t="n"/>
      <c r="P275" s="264" t="n"/>
      <c r="Q275" s="264" t="n"/>
      <c r="R275" s="264" t="n"/>
      <c r="S275" s="264" t="n"/>
      <c r="T275" s="264" t="n"/>
      <c r="U275" s="264" t="n"/>
      <c r="V275" s="264" t="n"/>
      <c r="W275" s="264" t="n"/>
      <c r="X275" s="264" t="n"/>
      <c r="Y275" s="264" t="n"/>
    </row>
    <row r="276">
      <c r="A276" s="264" t="n"/>
      <c r="B276" s="265" t="n">
        <v>177</v>
      </c>
      <c r="C276" s="265" t="inlineStr">
        <is>
          <t>TRIM, REAR DOOR OPENING</t>
        </is>
      </c>
      <c r="D276" s="264" t="n"/>
      <c r="E276" s="266" t="n"/>
      <c r="F276" s="267" t="n">
        <v>474.5</v>
      </c>
      <c r="G276" s="267" t="inlineStr">
        <is>
          <t>N.A.</t>
        </is>
      </c>
      <c r="H276" s="267" t="n"/>
      <c r="I276" s="267" t="n"/>
      <c r="J276" s="264" t="n"/>
      <c r="K276" s="268" t="n"/>
      <c r="L276" s="264" t="n"/>
      <c r="M276" s="264" t="n"/>
      <c r="N276" s="264" t="n"/>
      <c r="O276" s="264" t="n"/>
      <c r="P276" s="264" t="n"/>
      <c r="Q276" s="264" t="n"/>
      <c r="R276" s="264" t="n"/>
      <c r="S276" s="264" t="n"/>
      <c r="T276" s="264" t="n"/>
      <c r="U276" s="264" t="n"/>
      <c r="V276" s="264" t="n"/>
      <c r="W276" s="264" t="n"/>
      <c r="X276" s="264" t="n"/>
      <c r="Y276" s="264" t="n"/>
    </row>
    <row r="277">
      <c r="A277" s="264" t="n"/>
      <c r="B277" s="265" t="n">
        <v>178</v>
      </c>
      <c r="C277" s="265" t="inlineStr">
        <is>
          <t>GRIP, ASSISTANT (BEIGE), LH</t>
        </is>
      </c>
      <c r="D277" s="264" t="n"/>
      <c r="E277" s="266" t="n"/>
      <c r="F277" s="267" t="n">
        <v>152</v>
      </c>
      <c r="G277" s="267" t="inlineStr">
        <is>
          <t>N.A.</t>
        </is>
      </c>
      <c r="H277" s="267" t="n"/>
      <c r="I277" s="267" t="n"/>
      <c r="J277" s="264" t="n"/>
      <c r="K277" s="268" t="n"/>
      <c r="L277" s="264" t="n"/>
      <c r="M277" s="264" t="n"/>
      <c r="N277" s="264" t="n"/>
      <c r="O277" s="264" t="n"/>
      <c r="P277" s="264" t="n"/>
      <c r="Q277" s="264" t="n"/>
      <c r="R277" s="264" t="n"/>
      <c r="S277" s="264" t="n"/>
      <c r="T277" s="264" t="n"/>
      <c r="U277" s="264" t="n"/>
      <c r="V277" s="264" t="n"/>
      <c r="W277" s="264" t="n"/>
      <c r="X277" s="264" t="n"/>
      <c r="Y277" s="264" t="n"/>
    </row>
    <row r="278">
      <c r="A278" s="264" t="n"/>
      <c r="B278" s="265" t="n">
        <v>179</v>
      </c>
      <c r="C278" s="265" t="inlineStr">
        <is>
          <t>EMBLEM, MARK(S)</t>
        </is>
      </c>
      <c r="D278" s="264" t="n"/>
      <c r="E278" s="266" t="n"/>
      <c r="F278" s="267" t="n">
        <v>121</v>
      </c>
      <c r="G278" s="267" t="inlineStr">
        <is>
          <t>N.A.</t>
        </is>
      </c>
      <c r="H278" s="267" t="n"/>
      <c r="I278" s="267" t="n"/>
      <c r="J278" s="264" t="n"/>
      <c r="K278" s="268" t="n"/>
      <c r="L278" s="264" t="n"/>
      <c r="M278" s="264" t="n"/>
      <c r="N278" s="264" t="n"/>
      <c r="O278" s="264" t="n"/>
      <c r="P278" s="264" t="n"/>
      <c r="Q278" s="264" t="n"/>
      <c r="R278" s="264" t="n"/>
      <c r="S278" s="264" t="n"/>
      <c r="T278" s="264" t="n"/>
      <c r="U278" s="264" t="n"/>
      <c r="V278" s="264" t="n"/>
      <c r="W278" s="264" t="n"/>
      <c r="X278" s="264" t="n"/>
      <c r="Y278" s="264" t="n"/>
    </row>
    <row r="279">
      <c r="A279" s="264" t="n"/>
      <c r="B279" s="265" t="n">
        <v>180</v>
      </c>
      <c r="C279" s="265" t="inlineStr">
        <is>
          <t>LINING COMP, ROOF</t>
        </is>
      </c>
      <c r="D279" s="264" t="n"/>
      <c r="E279" s="266" t="n"/>
      <c r="F279" s="267" t="n">
        <v>4384</v>
      </c>
      <c r="G279" s="267" t="inlineStr">
        <is>
          <t>N.A.</t>
        </is>
      </c>
      <c r="H279" s="267" t="n"/>
      <c r="I279" s="267" t="n"/>
      <c r="J279" s="264" t="n"/>
      <c r="K279" s="268" t="n"/>
      <c r="L279" s="264" t="n"/>
      <c r="M279" s="264" t="n"/>
      <c r="N279" s="264" t="n"/>
      <c r="O279" s="264" t="n"/>
      <c r="P279" s="264" t="n"/>
      <c r="Q279" s="264" t="n"/>
      <c r="R279" s="264" t="n"/>
      <c r="S279" s="264" t="n"/>
      <c r="T279" s="264" t="n"/>
      <c r="U279" s="264" t="n"/>
      <c r="V279" s="264" t="n"/>
      <c r="W279" s="264" t="n"/>
      <c r="X279" s="264" t="n"/>
      <c r="Y279" s="264" t="n"/>
    </row>
    <row r="280">
      <c r="A280" s="264" t="n"/>
      <c r="B280" s="265" t="n">
        <v>181</v>
      </c>
      <c r="C280" s="265" t="inlineStr">
        <is>
          <t>SASH COMP, FR DR REAR LOWER,R</t>
        </is>
      </c>
      <c r="D280" s="264" t="n"/>
      <c r="E280" s="266" t="n"/>
      <c r="F280" s="267" t="n">
        <v>66</v>
      </c>
      <c r="G280" s="267" t="inlineStr">
        <is>
          <t>N.A.</t>
        </is>
      </c>
      <c r="H280" s="267" t="n"/>
      <c r="I280" s="267" t="n"/>
      <c r="J280" s="264" t="n"/>
      <c r="K280" s="268" t="n"/>
      <c r="L280" s="264" t="n"/>
      <c r="M280" s="264" t="n"/>
      <c r="N280" s="264" t="n"/>
      <c r="O280" s="264" t="n"/>
      <c r="P280" s="264" t="n"/>
      <c r="Q280" s="264" t="n"/>
      <c r="R280" s="264" t="n"/>
      <c r="S280" s="264" t="n"/>
      <c r="T280" s="264" t="n"/>
      <c r="U280" s="264" t="n"/>
      <c r="V280" s="264" t="n"/>
      <c r="W280" s="264" t="n"/>
      <c r="X280" s="264" t="n"/>
      <c r="Y280" s="264" t="n"/>
    </row>
    <row r="281">
      <c r="A281" s="264" t="n"/>
      <c r="B281" s="265" t="n">
        <v>182</v>
      </c>
      <c r="C281" s="265" t="inlineStr">
        <is>
          <t>STOP COMP, FRONT DOOR OPEN</t>
        </is>
      </c>
      <c r="D281" s="264" t="n"/>
      <c r="E281" s="266" t="n"/>
      <c r="F281" s="267" t="n">
        <v>124</v>
      </c>
      <c r="G281" s="267" t="inlineStr">
        <is>
          <t>N.A.</t>
        </is>
      </c>
      <c r="H281" s="267" t="n"/>
      <c r="I281" s="267" t="n"/>
      <c r="J281" s="264" t="n"/>
      <c r="K281" s="268" t="n"/>
      <c r="L281" s="264" t="n"/>
      <c r="M281" s="264" t="n"/>
      <c r="N281" s="264" t="n"/>
      <c r="O281" s="264" t="n"/>
      <c r="P281" s="264" t="n"/>
      <c r="Q281" s="264" t="n"/>
      <c r="R281" s="264" t="n"/>
      <c r="S281" s="264" t="n"/>
      <c r="T281" s="264" t="n"/>
      <c r="U281" s="264" t="n"/>
      <c r="V281" s="264" t="n"/>
      <c r="W281" s="264" t="n"/>
      <c r="X281" s="264" t="n"/>
      <c r="Y281" s="264" t="n"/>
    </row>
    <row r="282">
      <c r="A282" s="264" t="n"/>
      <c r="B282" s="265" t="n">
        <v>183</v>
      </c>
      <c r="C282" s="265" t="inlineStr">
        <is>
          <t>LATCH COMP, HOOD</t>
        </is>
      </c>
      <c r="D282" s="264" t="n"/>
      <c r="E282" s="266" t="n"/>
      <c r="F282" s="267" t="n">
        <v>180</v>
      </c>
      <c r="G282" s="267" t="inlineStr">
        <is>
          <t>N.A.</t>
        </is>
      </c>
      <c r="H282" s="267" t="n"/>
      <c r="I282" s="267" t="n"/>
      <c r="J282" s="264" t="n"/>
      <c r="K282" s="268" t="n"/>
      <c r="L282" s="264" t="n"/>
      <c r="M282" s="264" t="n"/>
      <c r="N282" s="264" t="n"/>
      <c r="O282" s="264" t="n"/>
      <c r="P282" s="264" t="n"/>
      <c r="Q282" s="264" t="n"/>
      <c r="R282" s="264" t="n"/>
      <c r="S282" s="264" t="n"/>
      <c r="T282" s="264" t="n"/>
      <c r="U282" s="264" t="n"/>
      <c r="V282" s="264" t="n"/>
      <c r="W282" s="264" t="n"/>
      <c r="X282" s="264" t="n"/>
      <c r="Y282" s="264" t="n"/>
    </row>
    <row r="283">
      <c r="A283" s="264" t="n"/>
      <c r="B283" s="265" t="n">
        <v>184</v>
      </c>
      <c r="C283" s="265" t="inlineStr">
        <is>
          <t>CABLE COMP, HOOD LATCH RELEASE</t>
        </is>
      </c>
      <c r="D283" s="264" t="n"/>
      <c r="E283" s="266" t="n"/>
      <c r="F283" s="267" t="n">
        <v>170.5</v>
      </c>
      <c r="G283" s="267" t="inlineStr">
        <is>
          <t>N.A.</t>
        </is>
      </c>
      <c r="H283" s="267" t="n"/>
      <c r="I283" s="267" t="n"/>
      <c r="J283" s="264" t="n"/>
      <c r="K283" s="268" t="n"/>
      <c r="L283" s="264" t="n"/>
      <c r="M283" s="264" t="n"/>
      <c r="N283" s="264" t="n"/>
      <c r="O283" s="264" t="n"/>
      <c r="P283" s="264" t="n"/>
      <c r="Q283" s="264" t="n"/>
      <c r="R283" s="264" t="n"/>
      <c r="S283" s="264" t="n"/>
      <c r="T283" s="264" t="n"/>
      <c r="U283" s="264" t="n"/>
      <c r="V283" s="264" t="n"/>
      <c r="W283" s="264" t="n"/>
      <c r="X283" s="264" t="n"/>
      <c r="Y283" s="264" t="n"/>
    </row>
    <row r="284">
      <c r="A284" s="264" t="n"/>
      <c r="B284" s="265" t="n">
        <v>185</v>
      </c>
      <c r="C284" s="265" t="inlineStr">
        <is>
          <t>LATCH ASSY FRONT DOOR RH</t>
        </is>
      </c>
      <c r="D284" s="264" t="n"/>
      <c r="E284" s="266" t="n"/>
      <c r="F284" s="267" t="n">
        <v>910</v>
      </c>
      <c r="G284" s="267" t="inlineStr">
        <is>
          <t>N.A.</t>
        </is>
      </c>
      <c r="H284" s="267" t="n"/>
      <c r="I284" s="267" t="n"/>
      <c r="J284" s="264" t="n"/>
      <c r="K284" s="268" t="n"/>
      <c r="L284" s="264" t="n"/>
      <c r="M284" s="264" t="n"/>
      <c r="N284" s="264" t="n"/>
      <c r="O284" s="264" t="n"/>
      <c r="P284" s="264" t="n"/>
      <c r="Q284" s="264" t="n"/>
      <c r="R284" s="264" t="n"/>
      <c r="S284" s="264" t="n"/>
      <c r="T284" s="264" t="n"/>
      <c r="U284" s="264" t="n"/>
      <c r="V284" s="264" t="n"/>
      <c r="W284" s="264" t="n"/>
      <c r="X284" s="264" t="n"/>
      <c r="Y284" s="264" t="n"/>
    </row>
    <row r="285">
      <c r="A285" s="264" t="n"/>
      <c r="B285" s="265" t="n">
        <v>186</v>
      </c>
      <c r="C285" s="265" t="inlineStr">
        <is>
          <t>HANDLE COMP, FRONT DOOR OUT,R</t>
        </is>
      </c>
      <c r="D285" s="264" t="n"/>
      <c r="E285" s="266" t="n"/>
      <c r="F285" s="267" t="n">
        <v>304</v>
      </c>
      <c r="G285" s="267" t="inlineStr">
        <is>
          <t>N.A.</t>
        </is>
      </c>
      <c r="H285" s="267" t="n"/>
      <c r="I285" s="267" t="n"/>
      <c r="J285" s="264" t="n"/>
      <c r="K285" s="268" t="n"/>
      <c r="L285" s="264" t="n"/>
      <c r="M285" s="264" t="n"/>
      <c r="N285" s="264" t="n"/>
      <c r="O285" s="264" t="n"/>
      <c r="P285" s="264" t="n"/>
      <c r="Q285" s="264" t="n"/>
      <c r="R285" s="264" t="n"/>
      <c r="S285" s="264" t="n"/>
      <c r="T285" s="264" t="n"/>
      <c r="U285" s="264" t="n"/>
      <c r="V285" s="264" t="n"/>
      <c r="W285" s="264" t="n"/>
      <c r="X285" s="264" t="n"/>
      <c r="Y285" s="264" t="n"/>
    </row>
    <row r="286">
      <c r="A286" s="264" t="n"/>
      <c r="B286" s="265" t="n">
        <v>187</v>
      </c>
      <c r="C286" s="265" t="inlineStr">
        <is>
          <t>HANDLE, SIDE DOOR INSIDE,R</t>
        </is>
      </c>
      <c r="D286" s="264" t="n"/>
      <c r="E286" s="266" t="n"/>
      <c r="F286" s="267" t="n">
        <v>101</v>
      </c>
      <c r="G286" s="267" t="inlineStr">
        <is>
          <t>N.A.</t>
        </is>
      </c>
      <c r="H286" s="267" t="n"/>
      <c r="I286" s="267" t="n"/>
      <c r="J286" s="264" t="n"/>
      <c r="K286" s="268" t="n"/>
      <c r="L286" s="264" t="n"/>
      <c r="M286" s="264" t="n"/>
      <c r="N286" s="264" t="n"/>
      <c r="O286" s="264" t="n"/>
      <c r="P286" s="264" t="n"/>
      <c r="Q286" s="264" t="n"/>
      <c r="R286" s="264" t="n"/>
      <c r="S286" s="264" t="n"/>
      <c r="T286" s="264" t="n"/>
      <c r="U286" s="264" t="n"/>
      <c r="V286" s="264" t="n"/>
      <c r="W286" s="264" t="n"/>
      <c r="X286" s="264" t="n"/>
      <c r="Y286" s="264" t="n"/>
    </row>
    <row r="287">
      <c r="A287" s="264" t="n"/>
      <c r="B287" s="265" t="n">
        <v>188</v>
      </c>
      <c r="C287" s="265" t="inlineStr">
        <is>
          <t>REGULATOR ASSY, FRONT WINDOW,RH</t>
        </is>
      </c>
      <c r="D287" s="264" t="n"/>
      <c r="E287" s="266" t="n"/>
      <c r="F287" s="267" t="n">
        <v>437.5</v>
      </c>
      <c r="G287" s="267" t="inlineStr">
        <is>
          <t>N.A.</t>
        </is>
      </c>
      <c r="H287" s="267" t="n"/>
      <c r="I287" s="267" t="n"/>
      <c r="J287" s="264" t="n"/>
      <c r="K287" s="268" t="n"/>
      <c r="L287" s="264" t="n"/>
      <c r="M287" s="264" t="n"/>
      <c r="N287" s="264" t="n"/>
      <c r="O287" s="264" t="n"/>
      <c r="P287" s="264" t="n"/>
      <c r="Q287" s="264" t="n"/>
      <c r="R287" s="264" t="n"/>
      <c r="S287" s="264" t="n"/>
      <c r="T287" s="264" t="n"/>
      <c r="U287" s="264" t="n"/>
      <c r="V287" s="264" t="n"/>
      <c r="W287" s="264" t="n"/>
      <c r="X287" s="264" t="n"/>
      <c r="Y287" s="264" t="n"/>
    </row>
    <row r="288">
      <c r="A288" s="264" t="n"/>
      <c r="B288" s="265" t="n">
        <v>189</v>
      </c>
      <c r="C288" s="265" t="inlineStr">
        <is>
          <t>RUN, FRONT DOOR GLASS,R</t>
        </is>
      </c>
      <c r="D288" s="264" t="n"/>
      <c r="E288" s="266" t="n"/>
      <c r="F288" s="267" t="n">
        <v>654.5</v>
      </c>
      <c r="G288" s="267" t="inlineStr">
        <is>
          <t>N.A.</t>
        </is>
      </c>
      <c r="H288" s="267" t="n"/>
      <c r="I288" s="267" t="n"/>
      <c r="J288" s="264" t="n"/>
      <c r="K288" s="268" t="n"/>
      <c r="L288" s="264" t="n"/>
      <c r="M288" s="264" t="n"/>
      <c r="N288" s="264" t="n"/>
      <c r="O288" s="264" t="n"/>
      <c r="P288" s="264" t="n"/>
      <c r="Q288" s="264" t="n"/>
      <c r="R288" s="264" t="n"/>
      <c r="S288" s="264" t="n"/>
      <c r="T288" s="264" t="n"/>
      <c r="U288" s="264" t="n"/>
      <c r="V288" s="264" t="n"/>
      <c r="W288" s="264" t="n"/>
      <c r="X288" s="264" t="n"/>
      <c r="Y288" s="264" t="n"/>
    </row>
    <row r="289">
      <c r="A289" s="264" t="n"/>
      <c r="B289" s="265" t="n">
        <v>190</v>
      </c>
      <c r="C289" s="265" t="inlineStr">
        <is>
          <t>TRIM, FRONT DOOR RH</t>
        </is>
      </c>
      <c r="D289" s="264" t="n"/>
      <c r="E289" s="266" t="n"/>
      <c r="F289" s="267" t="n">
        <v>1796.5</v>
      </c>
      <c r="G289" s="267" t="inlineStr">
        <is>
          <t>N.A.</t>
        </is>
      </c>
      <c r="H289" s="267" t="n"/>
      <c r="I289" s="267" t="n"/>
      <c r="J289" s="264" t="n"/>
      <c r="K289" s="268" t="n"/>
      <c r="L289" s="264" t="n"/>
      <c r="M289" s="264" t="n"/>
      <c r="N289" s="264" t="n"/>
      <c r="O289" s="264" t="n"/>
      <c r="P289" s="264" t="n"/>
      <c r="Q289" s="264" t="n"/>
      <c r="R289" s="264" t="n"/>
      <c r="S289" s="264" t="n"/>
      <c r="T289" s="264" t="n"/>
      <c r="U289" s="264" t="n"/>
      <c r="V289" s="264" t="n"/>
      <c r="W289" s="264" t="n"/>
      <c r="X289" s="264" t="n"/>
      <c r="Y289" s="264" t="n"/>
    </row>
    <row r="290">
      <c r="A290" s="264" t="n"/>
      <c r="B290" s="265" t="n">
        <v>191</v>
      </c>
      <c r="C290" s="265" t="inlineStr">
        <is>
          <t>WEATHERSTRIP, FRONT DOOR OUT,R</t>
        </is>
      </c>
      <c r="D290" s="264" t="n"/>
      <c r="E290" s="266" t="n"/>
      <c r="F290" s="267" t="n">
        <v>193.5</v>
      </c>
      <c r="G290" s="267" t="inlineStr">
        <is>
          <t>N.A.</t>
        </is>
      </c>
      <c r="H290" s="267" t="n"/>
      <c r="I290" s="267" t="n"/>
      <c r="J290" s="264" t="n"/>
      <c r="K290" s="268" t="n"/>
      <c r="L290" s="264" t="n"/>
      <c r="M290" s="264" t="n"/>
      <c r="N290" s="264" t="n"/>
      <c r="O290" s="264" t="n"/>
      <c r="P290" s="264" t="n"/>
      <c r="Q290" s="264" t="n"/>
      <c r="R290" s="264" t="n"/>
      <c r="S290" s="264" t="n"/>
      <c r="T290" s="264" t="n"/>
      <c r="U290" s="264" t="n"/>
      <c r="V290" s="264" t="n"/>
      <c r="W290" s="264" t="n"/>
      <c r="X290" s="264" t="n"/>
      <c r="Y290" s="264" t="n"/>
    </row>
    <row r="291">
      <c r="A291" s="264" t="n"/>
      <c r="B291" s="265" t="n">
        <v>192</v>
      </c>
      <c r="C291" s="265" t="inlineStr">
        <is>
          <t>WEATHERSTRIP, FRONT DOOR OUT,L</t>
        </is>
      </c>
      <c r="D291" s="264" t="n"/>
      <c r="E291" s="266" t="n"/>
      <c r="F291" s="267" t="n">
        <v>184</v>
      </c>
      <c r="G291" s="267" t="inlineStr">
        <is>
          <t>N.A.</t>
        </is>
      </c>
      <c r="H291" s="267" t="n"/>
      <c r="I291" s="267" t="n"/>
      <c r="J291" s="264" t="n"/>
      <c r="K291" s="268" t="n"/>
      <c r="L291" s="264" t="n"/>
      <c r="M291" s="264" t="n"/>
      <c r="N291" s="264" t="n"/>
      <c r="O291" s="264" t="n"/>
      <c r="P291" s="264" t="n"/>
      <c r="Q291" s="264" t="n"/>
      <c r="R291" s="264" t="n"/>
      <c r="S291" s="264" t="n"/>
      <c r="T291" s="264" t="n"/>
      <c r="U291" s="264" t="n"/>
      <c r="V291" s="264" t="n"/>
      <c r="W291" s="264" t="n"/>
      <c r="X291" s="264" t="n"/>
      <c r="Y291" s="264" t="n"/>
    </row>
    <row r="292">
      <c r="A292" s="264" t="n"/>
      <c r="B292" s="265" t="n">
        <v>193</v>
      </c>
      <c r="C292" s="265" t="inlineStr">
        <is>
          <t>WEATHERSTRIP, FR DOOR INNER,R</t>
        </is>
      </c>
      <c r="D292" s="264" t="n"/>
      <c r="E292" s="266" t="n"/>
      <c r="F292" s="267" t="n">
        <v>170.5</v>
      </c>
      <c r="G292" s="267" t="inlineStr">
        <is>
          <t>N.A.</t>
        </is>
      </c>
      <c r="H292" s="267" t="n"/>
      <c r="I292" s="267" t="n"/>
      <c r="J292" s="264" t="n"/>
      <c r="K292" s="268" t="n"/>
      <c r="L292" s="264" t="n"/>
      <c r="M292" s="264" t="n"/>
      <c r="N292" s="264" t="n"/>
      <c r="O292" s="264" t="n"/>
      <c r="P292" s="264" t="n"/>
      <c r="Q292" s="264" t="n"/>
      <c r="R292" s="264" t="n"/>
      <c r="S292" s="264" t="n"/>
      <c r="T292" s="264" t="n"/>
      <c r="U292" s="264" t="n"/>
      <c r="V292" s="264" t="n"/>
      <c r="W292" s="264" t="n"/>
      <c r="X292" s="264" t="n"/>
      <c r="Y292" s="264" t="n"/>
    </row>
    <row r="293">
      <c r="A293" s="264" t="n"/>
      <c r="B293" s="265" t="n">
        <v>194</v>
      </c>
      <c r="C293" s="265" t="inlineStr">
        <is>
          <t>GARNISH, FR DOOR OUTER RH</t>
        </is>
      </c>
      <c r="D293" s="264" t="n"/>
      <c r="E293" s="266" t="n"/>
      <c r="F293" s="267" t="n">
        <v>156.5</v>
      </c>
      <c r="G293" s="267" t="inlineStr">
        <is>
          <t>N.A.</t>
        </is>
      </c>
      <c r="H293" s="267" t="n"/>
      <c r="I293" s="267" t="n"/>
      <c r="J293" s="264" t="n"/>
      <c r="K293" s="268" t="n"/>
      <c r="L293" s="264" t="n"/>
      <c r="M293" s="264" t="n"/>
      <c r="N293" s="264" t="n"/>
      <c r="O293" s="264" t="n"/>
      <c r="P293" s="264" t="n"/>
      <c r="Q293" s="264" t="n"/>
      <c r="R293" s="264" t="n"/>
      <c r="S293" s="264" t="n"/>
      <c r="T293" s="264" t="n"/>
      <c r="U293" s="264" t="n"/>
      <c r="V293" s="264" t="n"/>
      <c r="W293" s="264" t="n"/>
      <c r="X293" s="264" t="n"/>
      <c r="Y293" s="264" t="n"/>
    </row>
    <row r="294">
      <c r="A294" s="264" t="n"/>
      <c r="B294" s="265" t="n">
        <v>195</v>
      </c>
      <c r="C294" s="265" t="inlineStr">
        <is>
          <t>GLASS SET, WINDSHIELD</t>
        </is>
      </c>
      <c r="D294" s="264" t="n"/>
      <c r="E294" s="266" t="n"/>
      <c r="F294" s="267" t="n">
        <v>6150</v>
      </c>
      <c r="G294" s="267" t="n"/>
      <c r="H294" s="267" t="n"/>
      <c r="I294" s="267" t="inlineStr">
        <is>
          <t>N.A.</t>
        </is>
      </c>
      <c r="J294" s="264" t="n"/>
      <c r="K294" s="268" t="n"/>
      <c r="L294" s="264" t="n"/>
      <c r="M294" s="264" t="n"/>
      <c r="N294" s="264" t="n"/>
      <c r="O294" s="264" t="n"/>
      <c r="P294" s="264" t="n"/>
      <c r="Q294" s="264" t="n"/>
      <c r="R294" s="264" t="n"/>
      <c r="S294" s="264" t="n"/>
      <c r="T294" s="264" t="n"/>
      <c r="U294" s="264" t="n"/>
      <c r="V294" s="264" t="n"/>
      <c r="W294" s="264" t="n"/>
      <c r="X294" s="264" t="n"/>
      <c r="Y294" s="264" t="n"/>
    </row>
    <row r="295">
      <c r="A295" s="264" t="n"/>
      <c r="B295" s="265" t="n">
        <v>196</v>
      </c>
      <c r="C295" s="265" t="inlineStr">
        <is>
          <t>GLASS COMP, FRONT DOOR WINDOW,R</t>
        </is>
      </c>
      <c r="D295" s="264" t="n"/>
      <c r="E295" s="266" t="n"/>
      <c r="F295" s="267" t="n">
        <v>1135</v>
      </c>
      <c r="G295" s="267" t="n"/>
      <c r="H295" s="267" t="n"/>
      <c r="I295" s="267" t="inlineStr">
        <is>
          <t>N.A.</t>
        </is>
      </c>
      <c r="J295" s="264" t="n"/>
      <c r="K295" s="268" t="n"/>
      <c r="L295" s="264" t="n"/>
      <c r="M295" s="264" t="n"/>
      <c r="N295" s="264" t="n"/>
      <c r="O295" s="264" t="n"/>
      <c r="P295" s="264" t="n"/>
      <c r="Q295" s="264" t="n"/>
      <c r="R295" s="264" t="n"/>
      <c r="S295" s="264" t="n"/>
      <c r="T295" s="264" t="n"/>
      <c r="U295" s="264" t="n"/>
      <c r="V295" s="264" t="n"/>
      <c r="W295" s="264" t="n"/>
      <c r="X295" s="264" t="n"/>
      <c r="Y295" s="264" t="n"/>
    </row>
    <row r="296">
      <c r="A296" s="264" t="n"/>
      <c r="B296" s="265" t="n">
        <v>197</v>
      </c>
      <c r="C296" s="265" t="inlineStr">
        <is>
          <t>MOLDING, WINDSHIELD</t>
        </is>
      </c>
      <c r="D296" s="264" t="n"/>
      <c r="E296" s="266" t="n"/>
      <c r="F296" s="267" t="n">
        <v>377.5</v>
      </c>
      <c r="G296" s="267" t="inlineStr">
        <is>
          <t>N.A.</t>
        </is>
      </c>
      <c r="H296" s="267" t="n"/>
      <c r="I296" s="267" t="n"/>
      <c r="J296" s="264" t="n"/>
      <c r="K296" s="268" t="n"/>
      <c r="L296" s="264" t="n"/>
      <c r="M296" s="264" t="n"/>
      <c r="N296" s="264" t="n"/>
      <c r="O296" s="264" t="n"/>
      <c r="P296" s="264" t="n"/>
      <c r="Q296" s="264" t="n"/>
      <c r="R296" s="264" t="n"/>
      <c r="S296" s="264" t="n"/>
      <c r="T296" s="264" t="n"/>
      <c r="U296" s="264" t="n"/>
      <c r="V296" s="264" t="n"/>
      <c r="W296" s="264" t="n"/>
      <c r="X296" s="264" t="n"/>
      <c r="Y296" s="264" t="n"/>
    </row>
    <row r="297">
      <c r="A297" s="264" t="n"/>
      <c r="B297" s="265" t="n">
        <v>198</v>
      </c>
      <c r="C297" s="265" t="inlineStr">
        <is>
          <t>WEATHERSTRIP, FRONT DOOR OPNG,R</t>
        </is>
      </c>
      <c r="D297" s="264" t="n"/>
      <c r="E297" s="266" t="n"/>
      <c r="F297" s="267" t="n">
        <v>543.5</v>
      </c>
      <c r="G297" s="267" t="inlineStr">
        <is>
          <t>N.A.</t>
        </is>
      </c>
      <c r="H297" s="267" t="n"/>
      <c r="I297" s="267" t="n"/>
      <c r="J297" s="264" t="n"/>
      <c r="K297" s="268" t="n"/>
      <c r="L297" s="264" t="n"/>
      <c r="M297" s="264" t="n"/>
      <c r="N297" s="264" t="n"/>
      <c r="O297" s="264" t="n"/>
      <c r="P297" s="264" t="n"/>
      <c r="Q297" s="264" t="n"/>
      <c r="R297" s="264" t="n"/>
      <c r="S297" s="264" t="n"/>
      <c r="T297" s="264" t="n"/>
      <c r="U297" s="264" t="n"/>
      <c r="V297" s="264" t="n"/>
      <c r="W297" s="264" t="n"/>
      <c r="X297" s="264" t="n"/>
      <c r="Y297" s="264" t="n"/>
    </row>
    <row r="298">
      <c r="A298" s="264" t="n"/>
      <c r="B298" s="265" t="n">
        <v>199</v>
      </c>
      <c r="C298" s="265" t="inlineStr">
        <is>
          <t>WEATHERSTRIP,RR DR PARTITION, L</t>
        </is>
      </c>
      <c r="D298" s="264" t="n"/>
      <c r="E298" s="266" t="n"/>
      <c r="F298" s="267" t="n">
        <v>414.5</v>
      </c>
      <c r="G298" s="267" t="inlineStr">
        <is>
          <t>N.A.</t>
        </is>
      </c>
      <c r="H298" s="267" t="n"/>
      <c r="I298" s="267" t="n"/>
      <c r="J298" s="264" t="n"/>
      <c r="K298" s="268" t="n"/>
      <c r="L298" s="264" t="n"/>
      <c r="M298" s="264" t="n"/>
      <c r="N298" s="264" t="n"/>
      <c r="O298" s="264" t="n"/>
      <c r="P298" s="264" t="n"/>
      <c r="Q298" s="264" t="n"/>
      <c r="R298" s="264" t="n"/>
      <c r="S298" s="264" t="n"/>
      <c r="T298" s="264" t="n"/>
      <c r="U298" s="264" t="n"/>
      <c r="V298" s="264" t="n"/>
      <c r="W298" s="264" t="n"/>
      <c r="X298" s="264" t="n"/>
      <c r="Y298" s="264" t="n"/>
    </row>
    <row r="299">
      <c r="A299" s="264" t="n"/>
      <c r="B299" s="265" t="n">
        <v>200</v>
      </c>
      <c r="C299" s="265" t="inlineStr">
        <is>
          <t>MIRROR ASSY, OUT REAR VIEW,R</t>
        </is>
      </c>
      <c r="D299" s="264" t="n"/>
      <c r="E299" s="266" t="n"/>
      <c r="F299" s="267" t="n">
        <v>1140</v>
      </c>
      <c r="G299" s="267" t="inlineStr">
        <is>
          <t>N.A.</t>
        </is>
      </c>
      <c r="H299" s="267" t="n"/>
      <c r="I299" s="267" t="n"/>
      <c r="J299" s="264" t="n"/>
      <c r="K299" s="268" t="n"/>
      <c r="L299" s="264" t="n"/>
      <c r="M299" s="264" t="n"/>
      <c r="N299" s="264" t="n"/>
      <c r="O299" s="264" t="n"/>
      <c r="P299" s="264" t="n"/>
      <c r="Q299" s="264" t="n"/>
      <c r="R299" s="264" t="n"/>
      <c r="S299" s="264" t="n"/>
      <c r="T299" s="264" t="n"/>
      <c r="U299" s="264" t="n"/>
      <c r="V299" s="264" t="n"/>
      <c r="W299" s="264" t="n"/>
      <c r="X299" s="264" t="n"/>
      <c r="Y299" s="264" t="n"/>
    </row>
    <row r="300">
      <c r="A300" s="264" t="n"/>
      <c r="B300" s="265" t="n">
        <v>201</v>
      </c>
      <c r="C300" s="265" t="inlineStr">
        <is>
          <t>MIRROR ASSY, OUT REAR VIEW,L</t>
        </is>
      </c>
      <c r="D300" s="264" t="n"/>
      <c r="E300" s="266" t="n"/>
      <c r="F300" s="267" t="n">
        <v>1210</v>
      </c>
      <c r="G300" s="267" t="inlineStr">
        <is>
          <t>N.A.</t>
        </is>
      </c>
      <c r="H300" s="267" t="n"/>
      <c r="I300" s="267" t="n"/>
      <c r="J300" s="264" t="n"/>
      <c r="K300" s="268" t="n"/>
      <c r="L300" s="264" t="n"/>
      <c r="M300" s="264" t="n"/>
      <c r="N300" s="264" t="n"/>
      <c r="O300" s="264" t="n"/>
      <c r="P300" s="264" t="n"/>
      <c r="Q300" s="264" t="n"/>
      <c r="R300" s="264" t="n"/>
      <c r="S300" s="264" t="n"/>
      <c r="T300" s="264" t="n"/>
      <c r="U300" s="264" t="n"/>
      <c r="V300" s="264" t="n"/>
      <c r="W300" s="264" t="n"/>
      <c r="X300" s="264" t="n"/>
      <c r="Y300" s="264" t="n"/>
    </row>
    <row r="301">
      <c r="A301" s="264" t="n"/>
      <c r="B301" s="265" t="n">
        <v>202</v>
      </c>
      <c r="C301" s="265" t="inlineStr">
        <is>
          <t>MIRROR ASSY, INSIDE R</t>
        </is>
      </c>
      <c r="D301" s="264" t="n"/>
      <c r="E301" s="266" t="n"/>
      <c r="F301" s="267" t="n">
        <v>210</v>
      </c>
      <c r="G301" s="267" t="inlineStr">
        <is>
          <t>N.A.</t>
        </is>
      </c>
      <c r="H301" s="267" t="n"/>
      <c r="I301" s="267" t="n"/>
      <c r="J301" s="264" t="n"/>
      <c r="K301" s="268" t="n"/>
      <c r="L301" s="264" t="n"/>
      <c r="M301" s="264" t="n"/>
      <c r="N301" s="264" t="n"/>
      <c r="O301" s="264" t="n"/>
      <c r="P301" s="264" t="n"/>
      <c r="Q301" s="264" t="n"/>
      <c r="R301" s="264" t="n"/>
      <c r="S301" s="264" t="n"/>
      <c r="T301" s="264" t="n"/>
      <c r="U301" s="264" t="n"/>
      <c r="V301" s="264" t="n"/>
      <c r="W301" s="264" t="n"/>
      <c r="X301" s="264" t="n"/>
      <c r="Y301" s="264" t="n"/>
    </row>
    <row r="302">
      <c r="A302" s="264" t="n"/>
      <c r="B302" s="265" t="n">
        <v>203</v>
      </c>
      <c r="C302" s="265" t="inlineStr">
        <is>
          <t>GARNISH COMP, FR DOOR INR,R</t>
        </is>
      </c>
      <c r="D302" s="264" t="n"/>
      <c r="E302" s="266" t="n"/>
      <c r="F302" s="267" t="n">
        <v>62.5</v>
      </c>
      <c r="G302" s="267" t="inlineStr">
        <is>
          <t>N.A.</t>
        </is>
      </c>
      <c r="H302" s="267" t="n"/>
      <c r="I302" s="267" t="n"/>
      <c r="J302" s="264" t="n"/>
      <c r="K302" s="268" t="n"/>
      <c r="L302" s="264" t="n"/>
      <c r="M302" s="264" t="n"/>
      <c r="N302" s="264" t="n"/>
      <c r="O302" s="264" t="n"/>
      <c r="P302" s="264" t="n"/>
      <c r="Q302" s="264" t="n"/>
      <c r="R302" s="264" t="n"/>
      <c r="S302" s="264" t="n"/>
      <c r="T302" s="264" t="n"/>
      <c r="U302" s="264" t="n"/>
      <c r="V302" s="264" t="n"/>
      <c r="W302" s="264" t="n"/>
      <c r="X302" s="264" t="n"/>
      <c r="Y302" s="264" t="n"/>
    </row>
    <row r="303">
      <c r="A303" s="264" t="n"/>
      <c r="B303" s="265" t="n">
        <v>204</v>
      </c>
      <c r="C303" s="265" t="inlineStr">
        <is>
          <t>BELT ASSY, FR, RH</t>
        </is>
      </c>
      <c r="D303" s="264" t="n"/>
      <c r="E303" s="266" t="n"/>
      <c r="F303" s="267" t="n">
        <v>3678</v>
      </c>
      <c r="G303" s="267" t="inlineStr">
        <is>
          <t>N.A.</t>
        </is>
      </c>
      <c r="H303" s="267" t="n"/>
      <c r="I303" s="267" t="n"/>
      <c r="J303" s="264" t="n"/>
      <c r="K303" s="268" t="n"/>
      <c r="L303" s="264" t="n"/>
      <c r="M303" s="264" t="n"/>
      <c r="N303" s="264" t="n"/>
      <c r="O303" s="264" t="n"/>
      <c r="P303" s="264" t="n"/>
      <c r="Q303" s="264" t="n"/>
      <c r="R303" s="264" t="n"/>
      <c r="S303" s="264" t="n"/>
      <c r="T303" s="264" t="n"/>
      <c r="U303" s="264" t="n"/>
      <c r="V303" s="264" t="n"/>
      <c r="W303" s="264" t="n"/>
      <c r="X303" s="264" t="n"/>
      <c r="Y303" s="264" t="n"/>
    </row>
    <row r="304">
      <c r="A304" s="264" t="n"/>
      <c r="B304" s="265" t="n">
        <v>205</v>
      </c>
      <c r="C304" s="265" t="inlineStr">
        <is>
          <t>BELT ASSY, FR, LH</t>
        </is>
      </c>
      <c r="D304" s="264" t="n"/>
      <c r="E304" s="266" t="n"/>
      <c r="F304" s="267" t="n">
        <v>3217</v>
      </c>
      <c r="G304" s="267" t="inlineStr">
        <is>
          <t>N.A.</t>
        </is>
      </c>
      <c r="H304" s="267" t="n"/>
      <c r="I304" s="267" t="n"/>
      <c r="J304" s="264" t="n"/>
      <c r="K304" s="268" t="n"/>
      <c r="L304" s="264" t="n"/>
      <c r="M304" s="264" t="n"/>
      <c r="N304" s="264" t="n"/>
      <c r="O304" s="264" t="n"/>
      <c r="P304" s="264" t="n"/>
      <c r="Q304" s="264" t="n"/>
      <c r="R304" s="264" t="n"/>
      <c r="S304" s="264" t="n"/>
      <c r="T304" s="264" t="n"/>
      <c r="U304" s="264" t="n"/>
      <c r="V304" s="264" t="n"/>
      <c r="W304" s="264" t="n"/>
      <c r="X304" s="264" t="n"/>
      <c r="Y304" s="264" t="n"/>
    </row>
    <row r="305">
      <c r="A305" s="264" t="n"/>
      <c r="B305" s="265" t="n">
        <v>206</v>
      </c>
      <c r="C305" s="265" t="inlineStr">
        <is>
          <t>FRAME ASSY, FR CUSH,R</t>
        </is>
      </c>
      <c r="D305" s="264" t="n"/>
      <c r="E305" s="266" t="n"/>
      <c r="F305" s="267" t="n">
        <v>4760</v>
      </c>
      <c r="G305" s="267" t="inlineStr">
        <is>
          <t>N.A.</t>
        </is>
      </c>
      <c r="H305" s="267" t="n"/>
      <c r="I305" s="267" t="n"/>
      <c r="J305" s="264" t="n"/>
      <c r="K305" s="268" t="n"/>
      <c r="L305" s="264" t="n"/>
      <c r="M305" s="264" t="n"/>
      <c r="N305" s="264" t="n"/>
      <c r="O305" s="264" t="n"/>
      <c r="P305" s="264" t="n"/>
      <c r="Q305" s="264" t="n"/>
      <c r="R305" s="264" t="n"/>
      <c r="S305" s="264" t="n"/>
      <c r="T305" s="264" t="n"/>
      <c r="U305" s="264" t="n"/>
      <c r="V305" s="264" t="n"/>
      <c r="W305" s="264" t="n"/>
      <c r="X305" s="264" t="n"/>
      <c r="Y305" s="264" t="n"/>
    </row>
    <row r="306">
      <c r="A306" s="264" t="n"/>
      <c r="B306" s="265" t="n">
        <v>207</v>
      </c>
      <c r="C306" s="265" t="inlineStr">
        <is>
          <t>PAD, FR CUSH</t>
        </is>
      </c>
      <c r="D306" s="264" t="n"/>
      <c r="E306" s="266" t="n"/>
      <c r="F306" s="267" t="n">
        <v>950</v>
      </c>
      <c r="G306" s="267" t="inlineStr">
        <is>
          <t>N.A.</t>
        </is>
      </c>
      <c r="H306" s="267" t="n"/>
      <c r="I306" s="267" t="n"/>
      <c r="J306" s="264" t="n"/>
      <c r="K306" s="268" t="n"/>
      <c r="L306" s="264" t="n"/>
      <c r="M306" s="264" t="n"/>
      <c r="N306" s="264" t="n"/>
      <c r="O306" s="264" t="n"/>
      <c r="P306" s="264" t="n"/>
      <c r="Q306" s="264" t="n"/>
      <c r="R306" s="264" t="n"/>
      <c r="S306" s="264" t="n"/>
      <c r="T306" s="264" t="n"/>
      <c r="U306" s="264" t="n"/>
      <c r="V306" s="264" t="n"/>
      <c r="W306" s="264" t="n"/>
      <c r="X306" s="264" t="n"/>
      <c r="Y306" s="264" t="n"/>
    </row>
    <row r="307">
      <c r="A307" s="264" t="n"/>
      <c r="B307" s="265" t="n">
        <v>208</v>
      </c>
      <c r="C307" s="265" t="inlineStr">
        <is>
          <t>BACK S/ASSY, FR RH</t>
        </is>
      </c>
      <c r="D307" s="264" t="n"/>
      <c r="E307" s="266" t="n"/>
      <c r="F307" s="267" t="n">
        <v>2968</v>
      </c>
      <c r="G307" s="267" t="inlineStr">
        <is>
          <t>N.A.</t>
        </is>
      </c>
      <c r="H307" s="267" t="n"/>
      <c r="I307" s="267" t="n"/>
      <c r="J307" s="264" t="n"/>
      <c r="K307" s="268" t="n"/>
      <c r="L307" s="264" t="n"/>
      <c r="M307" s="264" t="n"/>
      <c r="N307" s="264" t="n"/>
      <c r="O307" s="264" t="n"/>
      <c r="P307" s="264" t="n"/>
      <c r="Q307" s="264" t="n"/>
      <c r="R307" s="264" t="n"/>
      <c r="S307" s="264" t="n"/>
      <c r="T307" s="264" t="n"/>
      <c r="U307" s="264" t="n"/>
      <c r="V307" s="264" t="n"/>
      <c r="W307" s="264" t="n"/>
      <c r="X307" s="264" t="n"/>
      <c r="Y307" s="264" t="n"/>
    </row>
    <row r="308">
      <c r="A308" s="264" t="n"/>
      <c r="B308" s="265" t="n">
        <v>209</v>
      </c>
      <c r="C308" s="265" t="inlineStr">
        <is>
          <t>FRAME ASSY, FR CUSH LH</t>
        </is>
      </c>
      <c r="D308" s="264" t="n"/>
      <c r="E308" s="266" t="n"/>
      <c r="F308" s="267" t="n">
        <v>4039</v>
      </c>
      <c r="G308" s="267" t="inlineStr">
        <is>
          <t>N.A.</t>
        </is>
      </c>
      <c r="H308" s="267" t="n"/>
      <c r="I308" s="267" t="n"/>
      <c r="J308" s="264" t="n"/>
      <c r="K308" s="268" t="n"/>
      <c r="L308" s="264" t="n"/>
      <c r="M308" s="264" t="n"/>
      <c r="N308" s="264" t="n"/>
      <c r="O308" s="264" t="n"/>
      <c r="P308" s="264" t="n"/>
      <c r="Q308" s="264" t="n"/>
      <c r="R308" s="264" t="n"/>
      <c r="S308" s="264" t="n"/>
      <c r="T308" s="264" t="n"/>
      <c r="U308" s="264" t="n"/>
      <c r="V308" s="264" t="n"/>
      <c r="W308" s="264" t="n"/>
      <c r="X308" s="264" t="n"/>
      <c r="Y308" s="264" t="n"/>
    </row>
    <row r="309">
      <c r="A309" s="264" t="n"/>
      <c r="B309" s="265" t="n">
        <v>210</v>
      </c>
      <c r="C309" s="265" t="inlineStr">
        <is>
          <t>TANK, FUEL</t>
        </is>
      </c>
      <c r="D309" s="264" t="n"/>
      <c r="E309" s="266" t="n"/>
      <c r="F309" s="267" t="n">
        <v>5992</v>
      </c>
      <c r="G309" s="267" t="inlineStr">
        <is>
          <t>N.A.</t>
        </is>
      </c>
      <c r="H309" s="267" t="n"/>
      <c r="I309" s="267" t="n"/>
      <c r="J309" s="264" t="n"/>
      <c r="K309" s="268" t="n"/>
      <c r="L309" s="264" t="n"/>
      <c r="M309" s="264" t="n"/>
      <c r="N309" s="264" t="n"/>
      <c r="O309" s="264" t="n"/>
      <c r="P309" s="264" t="n"/>
      <c r="Q309" s="264" t="n"/>
      <c r="R309" s="264" t="n"/>
      <c r="S309" s="264" t="n"/>
      <c r="T309" s="264" t="n"/>
      <c r="U309" s="264" t="n"/>
      <c r="V309" s="264" t="n"/>
      <c r="W309" s="264" t="n"/>
      <c r="X309" s="264" t="n"/>
      <c r="Y309" s="264" t="n"/>
    </row>
    <row r="310">
      <c r="A310" s="264" t="n"/>
      <c r="B310" s="265" t="n">
        <v>211</v>
      </c>
      <c r="C310" s="265" t="inlineStr">
        <is>
          <t>V-BELT(4PK)</t>
        </is>
      </c>
      <c r="D310" s="264" t="n"/>
      <c r="E310" s="266" t="n"/>
      <c r="F310" s="267" t="n">
        <v>350</v>
      </c>
      <c r="G310" s="267" t="inlineStr">
        <is>
          <t>N.A.</t>
        </is>
      </c>
      <c r="H310" s="267" t="n"/>
      <c r="I310" s="267" t="n"/>
      <c r="J310" s="264" t="n"/>
      <c r="K310" s="268" t="n"/>
      <c r="L310" s="264" t="n"/>
      <c r="M310" s="264" t="n"/>
      <c r="N310" s="264" t="n"/>
      <c r="O310" s="264" t="n"/>
      <c r="P310" s="264" t="n"/>
      <c r="Q310" s="264" t="n"/>
      <c r="R310" s="264" t="n"/>
      <c r="S310" s="264" t="n"/>
      <c r="T310" s="264" t="n"/>
      <c r="U310" s="264" t="n"/>
      <c r="V310" s="264" t="n"/>
      <c r="W310" s="264" t="n"/>
      <c r="X310" s="264" t="n"/>
      <c r="Y310" s="264" t="n"/>
    </row>
    <row r="311">
      <c r="A311" s="264" t="n"/>
      <c r="B311" s="265" t="n">
        <v>212</v>
      </c>
      <c r="C311" s="265" t="inlineStr">
        <is>
          <t>COMPRESSOR ASSY</t>
        </is>
      </c>
      <c r="D311" s="264" t="n"/>
      <c r="E311" s="266" t="n"/>
      <c r="F311" s="267" t="n">
        <v>15380</v>
      </c>
      <c r="G311" s="267" t="inlineStr">
        <is>
          <t>N.A.</t>
        </is>
      </c>
      <c r="H311" s="267" t="n"/>
      <c r="I311" s="267" t="n"/>
      <c r="J311" s="264" t="n"/>
      <c r="K311" s="268" t="n"/>
      <c r="L311" s="264" t="n"/>
      <c r="M311" s="264" t="n"/>
      <c r="N311" s="264" t="n"/>
      <c r="O311" s="264" t="n"/>
      <c r="P311" s="264" t="n"/>
      <c r="Q311" s="264" t="n"/>
      <c r="R311" s="264" t="n"/>
      <c r="S311" s="264" t="n"/>
      <c r="T311" s="264" t="n"/>
      <c r="U311" s="264" t="n"/>
      <c r="V311" s="264" t="n"/>
      <c r="W311" s="264" t="n"/>
      <c r="X311" s="264" t="n"/>
      <c r="Y311" s="264" t="n"/>
    </row>
    <row r="312">
      <c r="A312" s="264" t="n"/>
      <c r="B312" s="265" t="n">
        <v>213</v>
      </c>
      <c r="C312" s="265" t="inlineStr">
        <is>
          <t>CONDENSER ASSY</t>
        </is>
      </c>
      <c r="D312" s="264" t="n"/>
      <c r="E312" s="266" t="n"/>
      <c r="F312" s="267" t="n">
        <v>4148</v>
      </c>
      <c r="G312" s="267" t="inlineStr">
        <is>
          <t>N.A.</t>
        </is>
      </c>
      <c r="H312" s="267" t="n"/>
      <c r="I312" s="267" t="n"/>
      <c r="J312" s="264" t="n"/>
      <c r="K312" s="268" t="n"/>
      <c r="L312" s="264" t="n"/>
      <c r="M312" s="264" t="n"/>
      <c r="N312" s="264" t="n"/>
      <c r="O312" s="264" t="n"/>
      <c r="P312" s="264" t="n"/>
      <c r="Q312" s="264" t="n"/>
      <c r="R312" s="264" t="n"/>
      <c r="S312" s="264" t="n"/>
      <c r="T312" s="264" t="n"/>
      <c r="U312" s="264" t="n"/>
      <c r="V312" s="264" t="n"/>
      <c r="W312" s="264" t="n"/>
      <c r="X312" s="264" t="n"/>
      <c r="Y312" s="264" t="n"/>
    </row>
    <row r="313">
      <c r="A313" s="264" t="n"/>
      <c r="B313" s="265" t="n">
        <v>214</v>
      </c>
      <c r="C313" s="265" t="inlineStr">
        <is>
          <t>HOSE, SUCTION</t>
        </is>
      </c>
      <c r="D313" s="264" t="n"/>
      <c r="E313" s="266" t="n"/>
      <c r="F313" s="267" t="n">
        <v>1326.5</v>
      </c>
      <c r="G313" s="267" t="inlineStr">
        <is>
          <t>N.A.</t>
        </is>
      </c>
      <c r="H313" s="267" t="n"/>
      <c r="I313" s="267" t="n"/>
      <c r="J313" s="264" t="n"/>
      <c r="K313" s="268" t="n"/>
      <c r="L313" s="264" t="n"/>
      <c r="M313" s="264" t="n"/>
      <c r="N313" s="264" t="n"/>
      <c r="O313" s="264" t="n"/>
      <c r="P313" s="264" t="n"/>
      <c r="Q313" s="264" t="n"/>
      <c r="R313" s="264" t="n"/>
      <c r="S313" s="264" t="n"/>
      <c r="T313" s="264" t="n"/>
      <c r="U313" s="264" t="n"/>
      <c r="V313" s="264" t="n"/>
      <c r="W313" s="264" t="n"/>
      <c r="X313" s="264" t="n"/>
      <c r="Y313" s="264" t="n"/>
    </row>
    <row r="314">
      <c r="A314" s="264" t="n"/>
      <c r="B314" s="265" t="n">
        <v>215</v>
      </c>
      <c r="C314" s="265" t="inlineStr">
        <is>
          <t>HOSE, DISCHARGE</t>
        </is>
      </c>
      <c r="D314" s="264" t="n"/>
      <c r="E314" s="266" t="n"/>
      <c r="F314" s="267" t="n">
        <v>802</v>
      </c>
      <c r="G314" s="267" t="inlineStr">
        <is>
          <t>N.A.</t>
        </is>
      </c>
      <c r="H314" s="267" t="n"/>
      <c r="I314" s="267" t="n"/>
      <c r="J314" s="264" t="n"/>
      <c r="K314" s="268" t="n"/>
      <c r="L314" s="264" t="n"/>
      <c r="M314" s="264" t="n"/>
      <c r="N314" s="264" t="n"/>
      <c r="O314" s="264" t="n"/>
      <c r="P314" s="264" t="n"/>
      <c r="Q314" s="264" t="n"/>
      <c r="R314" s="264" t="n"/>
      <c r="S314" s="264" t="n"/>
      <c r="T314" s="264" t="n"/>
      <c r="U314" s="264" t="n"/>
      <c r="V314" s="264" t="n"/>
      <c r="W314" s="264" t="n"/>
      <c r="X314" s="264" t="n"/>
      <c r="Y314" s="264" t="n"/>
    </row>
    <row r="315">
      <c r="A315" s="264" t="n"/>
      <c r="B315" s="265" t="n">
        <v>216</v>
      </c>
      <c r="C315" s="265" t="inlineStr">
        <is>
          <t>HOSE, LIQUID</t>
        </is>
      </c>
      <c r="D315" s="264" t="n"/>
      <c r="E315" s="266" t="n"/>
      <c r="F315" s="267" t="n">
        <v>1922</v>
      </c>
      <c r="G315" s="267" t="inlineStr">
        <is>
          <t>N.A.</t>
        </is>
      </c>
      <c r="H315" s="267" t="n"/>
      <c r="I315" s="267" t="n"/>
      <c r="J315" s="264" t="n"/>
      <c r="K315" s="268" t="n"/>
      <c r="L315" s="264" t="n"/>
      <c r="M315" s="264" t="n"/>
      <c r="N315" s="264" t="n"/>
      <c r="O315" s="264" t="n"/>
      <c r="P315" s="264" t="n"/>
      <c r="Q315" s="264" t="n"/>
      <c r="R315" s="264" t="n"/>
      <c r="S315" s="264" t="n"/>
      <c r="T315" s="264" t="n"/>
      <c r="U315" s="264" t="n"/>
      <c r="V315" s="264" t="n"/>
      <c r="W315" s="264" t="n"/>
      <c r="X315" s="264" t="n"/>
      <c r="Y315" s="264" t="n"/>
    </row>
    <row r="316">
      <c r="A316" s="264" t="n"/>
      <c r="B316" s="265" t="n">
        <v>217</v>
      </c>
      <c r="C316" s="265" t="inlineStr">
        <is>
          <t>COMPRESSOR OIL(R134A)SANDEN SP10(25</t>
        </is>
      </c>
      <c r="D316" s="264" t="n"/>
      <c r="E316" s="266" t="n"/>
      <c r="F316" s="267" t="n">
        <v>370</v>
      </c>
      <c r="G316" s="267" t="inlineStr">
        <is>
          <t>N.A.</t>
        </is>
      </c>
      <c r="H316" s="267" t="n"/>
      <c r="I316" s="267" t="n"/>
      <c r="J316" s="264" t="n"/>
      <c r="K316" s="268" t="n"/>
      <c r="L316" s="264" t="n"/>
      <c r="M316" s="264" t="n"/>
      <c r="N316" s="264" t="n"/>
      <c r="O316" s="264" t="n"/>
      <c r="P316" s="264" t="n"/>
      <c r="Q316" s="264" t="n"/>
      <c r="R316" s="264" t="n"/>
      <c r="S316" s="264" t="n"/>
      <c r="T316" s="264" t="n"/>
      <c r="U316" s="264" t="n"/>
      <c r="V316" s="264" t="n"/>
      <c r="W316" s="264" t="n"/>
      <c r="X316" s="264" t="n"/>
      <c r="Y316" s="264" t="n"/>
    </row>
    <row r="317">
      <c r="A317" s="264" t="n"/>
      <c r="B317" s="265" t="n">
        <v>218</v>
      </c>
      <c r="C317" s="265" t="inlineStr">
        <is>
          <t>DG SEALANT SET WITHOUT PRIMER</t>
        </is>
      </c>
      <c r="D317" s="264" t="n"/>
      <c r="E317" s="266" t="n"/>
      <c r="F317" s="267" t="n">
        <v>790</v>
      </c>
      <c r="G317" s="267" t="inlineStr">
        <is>
          <t>N.A.</t>
        </is>
      </c>
      <c r="H317" s="267" t="n"/>
      <c r="I317" s="267" t="n"/>
      <c r="J317" s="264" t="n"/>
      <c r="K317" s="268" t="n"/>
      <c r="L317" s="264" t="n"/>
      <c r="M317" s="264" t="n"/>
      <c r="N317" s="264" t="n"/>
      <c r="O317" s="264" t="n"/>
      <c r="P317" s="264" t="n"/>
      <c r="Q317" s="264" t="n"/>
      <c r="R317" s="264" t="n"/>
      <c r="S317" s="264" t="n"/>
      <c r="T317" s="264" t="n"/>
      <c r="U317" s="264" t="n"/>
      <c r="V317" s="264" t="n"/>
      <c r="W317" s="264" t="n"/>
      <c r="X317" s="264" t="n"/>
      <c r="Y317" s="264" t="n"/>
    </row>
    <row r="318">
      <c r="A318" s="264" t="n"/>
      <c r="B318" s="265" t="n">
        <v>219</v>
      </c>
      <c r="C318" s="265" t="inlineStr">
        <is>
          <t>ANABOND 685 RTV SILICON (100 GM TUB</t>
        </is>
      </c>
      <c r="D318" s="264" t="n"/>
      <c r="E318" s="266" t="n"/>
      <c r="F318" s="267" t="n">
        <v>235</v>
      </c>
      <c r="G318" s="267" t="inlineStr">
        <is>
          <t>N.A.</t>
        </is>
      </c>
      <c r="H318" s="267" t="n"/>
      <c r="I318" s="267" t="n"/>
      <c r="J318" s="264" t="n"/>
      <c r="K318" s="268" t="n"/>
      <c r="L318" s="264" t="n"/>
      <c r="M318" s="264" t="n"/>
      <c r="N318" s="264" t="n"/>
      <c r="O318" s="264" t="n"/>
      <c r="P318" s="264" t="n"/>
      <c r="Q318" s="264" t="n"/>
      <c r="R318" s="264" t="n"/>
      <c r="S318" s="264" t="n"/>
      <c r="T318" s="264" t="n"/>
      <c r="U318" s="264" t="n"/>
      <c r="V318" s="264" t="n"/>
      <c r="W318" s="264" t="n"/>
      <c r="X318" s="264" t="n"/>
      <c r="Y318" s="264" t="n"/>
    </row>
    <row r="319">
      <c r="A319" s="264" t="n"/>
      <c r="B319" s="265" t="n">
        <v>220</v>
      </c>
      <c r="C319" s="265" t="inlineStr">
        <is>
          <t>BRAKE FLUID GC1500AA (500 ML PACK)</t>
        </is>
      </c>
      <c r="D319" s="264" t="n"/>
      <c r="E319" s="266" t="n"/>
      <c r="F319" s="267" t="n">
        <v>385</v>
      </c>
      <c r="G319" s="267" t="inlineStr">
        <is>
          <t>N.A.</t>
        </is>
      </c>
      <c r="H319" s="267" t="n"/>
      <c r="I319" s="267" t="n"/>
      <c r="J319" s="264" t="n"/>
      <c r="K319" s="268" t="n"/>
      <c r="L319" s="264" t="n"/>
      <c r="M319" s="264" t="n"/>
      <c r="N319" s="264" t="n"/>
      <c r="O319" s="264" t="n"/>
      <c r="P319" s="264" t="n"/>
      <c r="Q319" s="264" t="n"/>
      <c r="R319" s="264" t="n"/>
      <c r="S319" s="264" t="n"/>
      <c r="T319" s="264" t="n"/>
      <c r="U319" s="264" t="n"/>
      <c r="V319" s="264" t="n"/>
      <c r="W319" s="264" t="n"/>
      <c r="X319" s="264" t="n"/>
      <c r="Y319" s="264" t="n"/>
    </row>
    <row r="320">
      <c r="A320" s="264" t="n"/>
      <c r="B320" s="265" t="n">
        <v>221</v>
      </c>
      <c r="C320" s="265" t="inlineStr">
        <is>
          <t>AIR DRYING SEALER (PU 92</t>
        </is>
      </c>
      <c r="D320" s="264" t="n"/>
      <c r="E320" s="266" t="n"/>
      <c r="F320" s="267" t="n">
        <v>2640</v>
      </c>
      <c r="G320" s="267" t="inlineStr">
        <is>
          <t>N.A.</t>
        </is>
      </c>
      <c r="H320" s="267" t="n"/>
      <c r="I320" s="267" t="n"/>
      <c r="J320" s="264" t="n"/>
      <c r="K320" s="268" t="n"/>
      <c r="L320" s="264" t="n"/>
      <c r="M320" s="264" t="n"/>
      <c r="N320" s="264" t="n"/>
      <c r="O320" s="264" t="n"/>
      <c r="P320" s="264" t="n"/>
      <c r="Q320" s="264" t="n"/>
      <c r="R320" s="264" t="n"/>
      <c r="S320" s="264" t="n"/>
      <c r="T320" s="264" t="n"/>
      <c r="U320" s="264" t="n"/>
      <c r="V320" s="264" t="n"/>
      <c r="W320" s="264" t="n"/>
      <c r="X320" s="264" t="n"/>
      <c r="Y320" s="264" t="n"/>
    </row>
    <row r="321">
      <c r="A321" s="264" t="n"/>
      <c r="B321" s="265" t="n">
        <v>222</v>
      </c>
      <c r="C321" s="265" t="inlineStr">
        <is>
          <t>COOLANT PREMIX GOLDEN YELLOW</t>
        </is>
      </c>
      <c r="D321" s="264" t="n"/>
      <c r="E321" s="266" t="n"/>
      <c r="F321" s="267" t="n">
        <v>555</v>
      </c>
      <c r="G321" s="267" t="inlineStr">
        <is>
          <t>N.A.</t>
        </is>
      </c>
      <c r="H321" s="267" t="n"/>
      <c r="I321" s="267" t="n"/>
      <c r="J321" s="264" t="n"/>
      <c r="K321" s="268" t="n"/>
      <c r="L321" s="264" t="n"/>
      <c r="M321" s="264" t="n"/>
      <c r="N321" s="264" t="n"/>
      <c r="O321" s="264" t="n"/>
      <c r="P321" s="264" t="n"/>
      <c r="Q321" s="264" t="n"/>
      <c r="R321" s="264" t="n"/>
      <c r="S321" s="264" t="n"/>
      <c r="T321" s="264" t="n"/>
      <c r="U321" s="264" t="n"/>
      <c r="V321" s="264" t="n"/>
      <c r="W321" s="264" t="n"/>
      <c r="X321" s="264" t="n"/>
      <c r="Y321" s="264" t="n"/>
    </row>
    <row r="322">
      <c r="A322" s="264" t="n"/>
      <c r="B322" s="265" t="n">
        <v>223</v>
      </c>
      <c r="C322" s="265" t="inlineStr">
        <is>
          <t>Mudflap Set</t>
        </is>
      </c>
      <c r="D322" s="264" t="n"/>
      <c r="E322" s="266" t="n"/>
      <c r="F322" s="267" t="n">
        <v>451.5</v>
      </c>
      <c r="G322" s="267" t="inlineStr">
        <is>
          <t>N.A.</t>
        </is>
      </c>
      <c r="H322" s="267" t="n"/>
      <c r="I322" s="267" t="n"/>
      <c r="J322" s="264" t="n"/>
      <c r="K322" s="268" t="n"/>
      <c r="L322" s="264" t="n"/>
      <c r="M322" s="264" t="n"/>
      <c r="N322" s="264" t="n"/>
      <c r="O322" s="264" t="n"/>
      <c r="P322" s="264" t="n"/>
      <c r="Q322" s="264" t="n"/>
      <c r="R322" s="264" t="n"/>
      <c r="S322" s="264" t="n"/>
      <c r="T322" s="264" t="n"/>
      <c r="U322" s="264" t="n"/>
      <c r="V322" s="264" t="n"/>
      <c r="W322" s="264" t="n"/>
      <c r="X322" s="264" t="n"/>
      <c r="Y322" s="264" t="n"/>
    </row>
    <row r="323">
      <c r="A323" s="264" t="n"/>
      <c r="B323" s="265" t="n">
        <v>224</v>
      </c>
      <c r="C323" s="265" t="inlineStr">
        <is>
          <t>AC CAN GAS (450GM) SRF</t>
        </is>
      </c>
      <c r="D323" s="264" t="n"/>
      <c r="E323" s="266" t="n"/>
      <c r="F323" s="267" t="n">
        <v>720</v>
      </c>
      <c r="G323" s="267" t="inlineStr">
        <is>
          <t>N.A.</t>
        </is>
      </c>
      <c r="H323" s="267" t="n"/>
      <c r="I323" s="267" t="n"/>
      <c r="J323" s="264" t="n"/>
      <c r="K323" s="268" t="n"/>
      <c r="L323" s="264" t="n"/>
      <c r="M323" s="264" t="n"/>
      <c r="N323" s="264" t="n"/>
      <c r="O323" s="264" t="n"/>
      <c r="P323" s="264" t="n"/>
      <c r="Q323" s="264" t="n"/>
      <c r="R323" s="264" t="n"/>
      <c r="S323" s="264" t="n"/>
      <c r="T323" s="264" t="n"/>
      <c r="U323" s="264" t="n"/>
      <c r="V323" s="264" t="n"/>
      <c r="W323" s="264" t="n"/>
      <c r="X323" s="264" t="n"/>
      <c r="Y323" s="264" t="n"/>
    </row>
    <row r="324">
      <c r="B324" s="106" t="n">
        <v>225</v>
      </c>
      <c r="C324" s="269" t="inlineStr">
        <is>
          <t>ECSTAR NEXA OW16 - IDEMITSU</t>
        </is>
      </c>
      <c r="D324" s="47" t="n"/>
      <c r="E324" s="89" t="n"/>
      <c r="F324" s="27" t="n">
        <v>1824</v>
      </c>
      <c r="G324" s="90" t="inlineStr">
        <is>
          <t>N.A.</t>
        </is>
      </c>
      <c r="H324" s="91" t="n"/>
      <c r="I324" s="90" t="n"/>
      <c r="J324" s="64" t="n"/>
    </row>
    <row r="325">
      <c r="B325" s="2" t="inlineStr">
        <is>
          <t>SUB TOTAL</t>
        </is>
      </c>
      <c r="E325" s="4" t="n"/>
      <c r="F325" s="26">
        <f>SUM(F100:F324)</f>
        <v/>
      </c>
      <c r="G325" s="33">
        <f>SUM(G100:G324)</f>
        <v/>
      </c>
      <c r="H325" s="25">
        <f>SUM(H100:H324)</f>
        <v/>
      </c>
      <c r="I325" s="25">
        <f>SUM(I100:I324)</f>
        <v/>
      </c>
      <c r="J325" s="32" t="n"/>
      <c r="M325" s="32" t="n"/>
    </row>
    <row r="326">
      <c r="A326" s="4" t="n"/>
      <c r="B326" s="116" t="n">
        <v>18</v>
      </c>
      <c r="C326" s="6" t="inlineStr">
        <is>
          <t>% ADD GST (9%CGST+9%SGST)</t>
        </is>
      </c>
      <c r="D326" s="6" t="n"/>
      <c r="E326" s="7" t="n"/>
      <c r="F326" s="31">
        <f>B326*F325/100</f>
        <v/>
      </c>
      <c r="G326" s="49">
        <f>B326*G325/100</f>
        <v/>
      </c>
      <c r="H326" s="31">
        <f>B326*H325/100</f>
        <v/>
      </c>
      <c r="I326" s="31">
        <f>18*I325/100</f>
        <v/>
      </c>
      <c r="J326" s="32" t="n"/>
      <c r="M326" s="32" t="n"/>
    </row>
    <row r="327">
      <c r="B327" s="2" t="inlineStr">
        <is>
          <t>SUB TOTAL</t>
        </is>
      </c>
      <c r="F327" s="33">
        <f>SUM(F325:F326)</f>
        <v/>
      </c>
      <c r="G327" s="33">
        <f>SUM(G325:G326)</f>
        <v/>
      </c>
      <c r="H327" s="33">
        <f>SUM(H325:H326)</f>
        <v/>
      </c>
      <c r="I327" s="25">
        <f>SUM(I325:I326)</f>
        <v/>
      </c>
      <c r="J327" s="32" t="n"/>
    </row>
    <row r="328">
      <c r="B328" s="14" t="inlineStr">
        <is>
          <t>LESS DEPRECIATION:</t>
        </is>
      </c>
      <c r="F328" s="33" t="n"/>
      <c r="G328" s="33" t="n"/>
      <c r="H328" s="33" t="n"/>
      <c r="I328" s="25" t="n"/>
    </row>
    <row r="329">
      <c r="B329" s="5">
        <f>J95</f>
        <v/>
      </c>
      <c r="C329" s="6" t="inlineStr">
        <is>
          <t>% OF METAL &amp; 50% OF PLASTIC</t>
        </is>
      </c>
      <c r="D329" s="6" t="n"/>
      <c r="E329" s="7" t="n"/>
      <c r="F329" s="30" t="n"/>
      <c r="G329" s="30">
        <f>B329*G327/100</f>
        <v/>
      </c>
      <c r="H329" s="30">
        <f>H327/2</f>
        <v/>
      </c>
      <c r="I329" s="25" t="n">
        <v>0</v>
      </c>
      <c r="J329" s="32" t="n"/>
    </row>
    <row r="330">
      <c r="B330" s="19" t="inlineStr">
        <is>
          <t>NET FOR PARTS</t>
        </is>
      </c>
      <c r="C330" s="20" t="n"/>
      <c r="D330" s="20" t="n"/>
      <c r="E330" s="22" t="n"/>
      <c r="F330" s="34">
        <f>F327</f>
        <v/>
      </c>
      <c r="G330" s="35">
        <f>G327-G329</f>
        <v/>
      </c>
      <c r="H330" s="34">
        <f>H327-H329</f>
        <v/>
      </c>
      <c r="I330" s="35">
        <f>I327-I329</f>
        <v/>
      </c>
      <c r="J330" s="32" t="n"/>
    </row>
    <row r="331">
      <c r="B331" s="24" t="inlineStr">
        <is>
          <t>TOTAL NET FOR PARTS</t>
        </is>
      </c>
      <c r="C331" s="6" t="n"/>
      <c r="D331" s="20" t="n"/>
      <c r="E331" s="36" t="n"/>
      <c r="F331" s="37">
        <f>F330</f>
        <v/>
      </c>
      <c r="G331" s="38">
        <f>G330+H330+I330+J330</f>
        <v/>
      </c>
      <c r="H331" s="39" t="n"/>
      <c r="I331" s="22" t="n"/>
    </row>
    <row r="332">
      <c r="B332" s="3" t="n"/>
      <c r="F332" s="64" t="n"/>
      <c r="G332" s="64" t="n"/>
    </row>
    <row r="333">
      <c r="B333" s="3" t="inlineStr">
        <is>
          <t>TOTAL AMOUNT OF DEPRECIATION (In Rs):</t>
        </is>
      </c>
      <c r="G333" s="52">
        <f>G329+H329+J329+I329</f>
        <v/>
      </c>
    </row>
    <row r="334">
      <c r="I334" s="3" t="n"/>
    </row>
    <row r="335">
      <c r="I335" s="3" t="n"/>
    </row>
    <row r="336">
      <c r="I336" s="3" t="n"/>
    </row>
    <row r="337">
      <c r="I337" s="3" t="n"/>
    </row>
    <row r="338">
      <c r="I338" s="3" t="n"/>
      <c r="M338" s="1" t="n"/>
    </row>
    <row r="339">
      <c r="I339" s="3" t="n"/>
      <c r="M339" s="1" t="n"/>
    </row>
    <row r="340">
      <c r="I340" s="3" t="n"/>
    </row>
    <row r="341">
      <c r="I341" s="3" t="n"/>
    </row>
    <row r="342">
      <c r="B342" s="10" t="inlineStr">
        <is>
          <t>LABOUR DETAIL</t>
        </is>
      </c>
      <c r="G342" s="52" t="n"/>
    </row>
    <row r="343">
      <c r="G343" s="52" t="n"/>
    </row>
    <row r="344">
      <c r="B344" s="42" t="inlineStr">
        <is>
          <t>LABOUR ESTIMATED</t>
        </is>
      </c>
      <c r="C344" s="20" t="n"/>
      <c r="D344" s="20" t="n"/>
      <c r="E344" s="20" t="n"/>
      <c r="F344" s="20" t="n"/>
      <c r="G344" s="70" t="n"/>
      <c r="H344" s="20" t="n"/>
      <c r="I344" s="43" t="n"/>
    </row>
    <row r="345">
      <c r="B345" s="71" t="inlineStr">
        <is>
          <t>S.N.</t>
        </is>
      </c>
      <c r="C345" s="72" t="inlineStr">
        <is>
          <t>DESCRIPTION</t>
        </is>
      </c>
      <c r="D345" s="20" t="n"/>
      <c r="E345" s="22" t="n"/>
      <c r="F345" s="93" t="inlineStr">
        <is>
          <t>R/R</t>
        </is>
      </c>
      <c r="G345" s="73" t="inlineStr">
        <is>
          <t>DENTING</t>
        </is>
      </c>
      <c r="H345" s="74" t="inlineStr">
        <is>
          <t>C/W</t>
        </is>
      </c>
      <c r="I345" s="75" t="inlineStr">
        <is>
          <t>PAINTING</t>
        </is>
      </c>
    </row>
    <row r="346">
      <c r="B346" s="76" t="n"/>
      <c r="C346" s="1" t="n"/>
      <c r="F346" s="79" t="n"/>
      <c r="G346" s="77" t="n"/>
      <c r="H346" s="78" t="n"/>
      <c r="I346" s="79" t="n"/>
    </row>
    <row r="347">
      <c r="B347" s="76" t="n"/>
      <c r="F347" s="153" t="n"/>
      <c r="G347" s="77" t="n"/>
      <c r="H347" s="78" t="n"/>
      <c r="I347" s="153" t="n"/>
    </row>
    <row r="348">
      <c r="B348" s="76" t="n"/>
      <c r="F348" s="153" t="n"/>
      <c r="G348" s="77" t="n"/>
      <c r="H348" s="78" t="n"/>
      <c r="I348" s="153" t="n"/>
    </row>
    <row r="349">
      <c r="B349" s="76" t="n"/>
      <c r="F349" s="153" t="n"/>
      <c r="G349" s="77" t="n"/>
      <c r="H349" s="78" t="n"/>
      <c r="I349" s="153" t="n"/>
    </row>
    <row r="350">
      <c r="B350" s="76" t="n"/>
      <c r="F350" s="92" t="n"/>
      <c r="G350" s="77" t="n"/>
      <c r="H350" s="78" t="n"/>
      <c r="I350" s="92" t="n"/>
    </row>
    <row r="351">
      <c r="B351" s="86" t="inlineStr">
        <is>
          <t>SUB TOTAL</t>
        </is>
      </c>
      <c r="C351" s="62" t="n"/>
      <c r="D351" s="62" t="n"/>
      <c r="E351" s="62" t="n"/>
      <c r="F351" s="25">
        <f>SUM(F346:F350)</f>
        <v/>
      </c>
      <c r="G351" s="66">
        <f>SUM(G346:G350)</f>
        <v/>
      </c>
      <c r="H351" s="68">
        <f>SUM(H346:H350)</f>
        <v/>
      </c>
      <c r="I351" s="26">
        <f>SUM(I346:I350)</f>
        <v/>
      </c>
    </row>
    <row r="352">
      <c r="B352" s="5" t="n"/>
      <c r="C352" s="6" t="n"/>
      <c r="D352" s="6" t="n"/>
      <c r="E352" s="6" t="n"/>
      <c r="F352" s="31" t="n"/>
      <c r="G352" s="28" t="n"/>
      <c r="H352" s="31" t="n"/>
      <c r="I352" s="27" t="n"/>
    </row>
    <row r="353">
      <c r="A353" s="4" t="n"/>
      <c r="B353" s="42" t="inlineStr">
        <is>
          <t>SUB TOTAL</t>
        </is>
      </c>
      <c r="C353" s="20" t="n"/>
      <c r="D353" s="20" t="n"/>
      <c r="E353" s="20" t="n"/>
      <c r="F353" s="35">
        <f>F351</f>
        <v/>
      </c>
      <c r="G353" s="61">
        <f>G351</f>
        <v/>
      </c>
      <c r="H353" s="68">
        <f>H351</f>
        <v/>
      </c>
      <c r="I353" s="29">
        <f>I351-I352</f>
        <v/>
      </c>
    </row>
    <row r="354">
      <c r="B354" s="24" t="n"/>
      <c r="C354" s="6" t="n"/>
      <c r="D354" s="47" t="inlineStr">
        <is>
          <t>TOTAL (R/R, DENTING, C/W, PAINTING)</t>
        </is>
      </c>
      <c r="E354" s="6" t="n"/>
      <c r="F354" s="28" t="n"/>
      <c r="G354" s="28" t="n"/>
      <c r="H354" s="81">
        <f>F353+G353+H353+I353</f>
        <v/>
      </c>
      <c r="I354" s="82" t="n"/>
    </row>
    <row r="355">
      <c r="B355" s="83" t="n"/>
      <c r="C355" s="62" t="n"/>
      <c r="D355" s="62" t="n"/>
      <c r="E355" s="62" t="n"/>
      <c r="F355" s="66" t="n"/>
      <c r="G355" s="66" t="n"/>
      <c r="H355" s="32" t="n"/>
      <c r="I355" s="32" t="n"/>
    </row>
    <row r="356">
      <c r="B356" s="42" t="inlineStr">
        <is>
          <t xml:space="preserve">LABOUR </t>
        </is>
      </c>
      <c r="C356" s="20" t="n"/>
      <c r="D356" s="20" t="n"/>
      <c r="E356" s="20" t="n"/>
      <c r="F356" s="80" t="n"/>
      <c r="G356" s="80" t="n"/>
      <c r="H356" s="84" t="inlineStr">
        <is>
          <t>Estimated</t>
        </is>
      </c>
      <c r="I356" s="84" t="inlineStr">
        <is>
          <t>Assessed</t>
        </is>
      </c>
    </row>
    <row r="357">
      <c r="B357" s="14" t="n"/>
      <c r="F357" s="32" t="n"/>
      <c r="G357" s="32" t="n"/>
      <c r="H357" s="25">
        <f>I344</f>
        <v/>
      </c>
      <c r="I357" s="25">
        <f>H354</f>
        <v/>
      </c>
    </row>
    <row r="358">
      <c r="B358" s="117">
        <f>J96</f>
        <v/>
      </c>
      <c r="C358" s="6" t="inlineStr">
        <is>
          <t>% ADD GST (9%CGST+9%SGST)</t>
        </is>
      </c>
      <c r="F358" s="32" t="n"/>
      <c r="G358" s="32" t="n"/>
      <c r="H358" s="25">
        <f>B358*H357/100</f>
        <v/>
      </c>
      <c r="I358" s="25">
        <f>B358*I357/100</f>
        <v/>
      </c>
    </row>
    <row r="359">
      <c r="B359" s="42" t="inlineStr">
        <is>
          <t>NET FOR LABOUR</t>
        </is>
      </c>
      <c r="C359" s="20" t="n"/>
      <c r="D359" s="20" t="n"/>
      <c r="E359" s="20" t="n"/>
      <c r="F359" s="85" t="n"/>
      <c r="G359" s="85" t="n"/>
      <c r="H359" s="40">
        <f>H357+H358</f>
        <v/>
      </c>
      <c r="I359" s="38">
        <f>I357+I358</f>
        <v/>
      </c>
    </row>
    <row r="360"/>
    <row r="361">
      <c r="B361" s="3" t="inlineStr">
        <is>
          <t>TOTAL AMOUNT OF LABOUR ASSESSED (in Rs):</t>
        </is>
      </c>
      <c r="G361" s="64">
        <f>I359</f>
        <v/>
      </c>
    </row>
    <row r="362">
      <c r="B362" s="6" t="n"/>
      <c r="C362" s="6" t="n"/>
      <c r="D362" s="6" t="n"/>
      <c r="E362" s="6" t="n"/>
      <c r="F362" s="6" t="n"/>
      <c r="G362" s="6" t="n"/>
    </row>
    <row r="363">
      <c r="B363" s="24" t="inlineStr">
        <is>
          <t>SUMMARY</t>
        </is>
      </c>
      <c r="C363" s="6" t="n"/>
      <c r="D363" s="6" t="n"/>
      <c r="E363" s="7" t="n"/>
      <c r="F363" s="48" t="inlineStr">
        <is>
          <t>Estimated</t>
        </is>
      </c>
      <c r="G363" s="48" t="inlineStr">
        <is>
          <t>Assessed</t>
        </is>
      </c>
    </row>
    <row r="364">
      <c r="B364" s="67" t="inlineStr">
        <is>
          <t>PARTS</t>
        </is>
      </c>
      <c r="C364" s="62" t="n"/>
      <c r="D364" s="62" t="n"/>
      <c r="E364" s="62" t="n"/>
      <c r="F364" s="68">
        <f>F331</f>
        <v/>
      </c>
      <c r="G364" s="29">
        <f>G331</f>
        <v/>
      </c>
    </row>
    <row r="365">
      <c r="B365" s="5" t="inlineStr">
        <is>
          <t>LABOUR</t>
        </is>
      </c>
      <c r="C365" s="6" t="n"/>
      <c r="D365" s="6" t="n"/>
      <c r="E365" s="6" t="n"/>
      <c r="F365" s="31">
        <f>H359</f>
        <v/>
      </c>
      <c r="G365" s="27">
        <f>G361</f>
        <v/>
      </c>
    </row>
    <row r="366">
      <c r="B366" s="2" t="inlineStr">
        <is>
          <t>SUB TOTAL</t>
        </is>
      </c>
      <c r="E366" s="4" t="n"/>
      <c r="F366" s="26">
        <f>F364+F365</f>
        <v/>
      </c>
      <c r="G366" s="26">
        <f>G364+G365</f>
        <v/>
      </c>
    </row>
    <row r="367">
      <c r="B367" s="5" t="inlineStr">
        <is>
          <t>LESS EXCESS CLAUSE</t>
        </is>
      </c>
      <c r="C367" s="6" t="n"/>
      <c r="D367" s="6" t="n"/>
      <c r="E367" s="7" t="n"/>
      <c r="F367" s="4" t="n"/>
      <c r="G367" s="26">
        <f>J94</f>
        <v/>
      </c>
    </row>
    <row r="368">
      <c r="B368" s="24" t="inlineStr">
        <is>
          <t>NET PAYABLE</t>
        </is>
      </c>
      <c r="C368" s="6" t="n"/>
      <c r="D368" s="20" t="n"/>
      <c r="E368" s="36" t="n"/>
      <c r="F368" s="40">
        <f>F366</f>
        <v/>
      </c>
      <c r="G368" s="41">
        <f>G366-G367</f>
        <v/>
      </c>
    </row>
    <row r="369"/>
    <row r="370">
      <c r="B370" s="1" t="inlineStr">
        <is>
          <t xml:space="preserve">LESS SALVAGE VALUE </t>
        </is>
      </c>
      <c r="G370" s="32" t="n"/>
    </row>
    <row r="371">
      <c r="B371" s="42" t="inlineStr">
        <is>
          <t>NET PAYABLE AMOUNT</t>
        </is>
      </c>
      <c r="C371" s="20" t="n"/>
      <c r="D371" s="20" t="n"/>
      <c r="E371" s="20" t="n"/>
      <c r="F371" s="20" t="n"/>
      <c r="G371" s="43">
        <f>G368-G370</f>
        <v/>
      </c>
      <c r="I371" s="32" t="n"/>
    </row>
    <row r="372">
      <c r="A372" s="18" t="n"/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</row>
    <row r="373">
      <c r="A373" s="18" t="n"/>
      <c r="B373" s="261" t="inlineStr">
        <is>
          <t>Report issued without prejudice or bias and is subject to the term and condition of the Policy and subject claim document being found in order. The Repairer/Insured has concurred with assessment.The damages are commensurate with the cause and nature of accident. The rates allowed are as per Authorised Dealer/Market rates which ever is less. Claim Form, Estimate, SF Bill, Photographs, Photocopies of RC, DL, C.Note, etc etc are enclosed.</t>
        </is>
      </c>
    </row>
    <row r="374">
      <c r="A374" s="18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</row>
    <row r="375">
      <c r="B375" s="55" t="inlineStr">
        <is>
          <t>Physically Verified Major Assemblies</t>
        </is>
      </c>
    </row>
    <row r="376">
      <c r="B376" s="3" t="n"/>
    </row>
    <row r="377">
      <c r="B377" s="13" t="n">
        <v>1</v>
      </c>
      <c r="C377" s="1" t="inlineStr">
        <is>
          <t>Chassis Number</t>
        </is>
      </c>
      <c r="E377" s="3" t="inlineStr">
        <is>
          <t>:</t>
        </is>
      </c>
      <c r="F377" s="13">
        <f>G29</f>
        <v/>
      </c>
    </row>
    <row r="378">
      <c r="B378" s="13" t="n"/>
      <c r="E378" s="3" t="n"/>
    </row>
    <row r="379">
      <c r="B379" s="13" t="n">
        <v>2</v>
      </c>
      <c r="C379" s="1" t="inlineStr">
        <is>
          <t>Engine Number</t>
        </is>
      </c>
      <c r="E379" s="3" t="inlineStr">
        <is>
          <t>:</t>
        </is>
      </c>
      <c r="F379" s="13">
        <f>G30</f>
        <v/>
      </c>
    </row>
    <row r="380">
      <c r="B380" s="3" t="n"/>
      <c r="J380" s="3" t="n"/>
    </row>
    <row r="381">
      <c r="B381" s="3" t="n"/>
      <c r="C381" s="67" t="inlineStr">
        <is>
          <t>PAYMENT MADE IN THE FAVOUR OF REPAIRER</t>
        </is>
      </c>
      <c r="D381" s="62" t="n"/>
      <c r="E381" s="62" t="n"/>
      <c r="F381" s="62" t="n"/>
      <c r="G381" s="87" t="n"/>
      <c r="J381" s="3" t="inlineStr">
        <is>
          <t xml:space="preserve">              SUNIL KUMAR</t>
        </is>
      </c>
    </row>
    <row r="382">
      <c r="C382" s="2" t="n"/>
      <c r="G382" s="4" t="n"/>
    </row>
    <row r="383">
      <c r="B383" s="3" t="n"/>
      <c r="C383" s="88" t="inlineStr">
        <is>
          <t>CASHLESS CLAIM</t>
        </is>
      </c>
      <c r="D383" s="6" t="n"/>
      <c r="E383" s="6" t="n"/>
      <c r="F383" s="6" t="n"/>
      <c r="G383" s="7" t="n"/>
    </row>
    <row r="384">
      <c r="B384" s="3" t="n"/>
    </row>
    <row r="385">
      <c r="B385" s="3" t="n"/>
    </row>
    <row r="386">
      <c r="B386" s="3" t="n"/>
    </row>
    <row r="387">
      <c r="M387" s="3" t="inlineStr">
        <is>
          <t>SUMMARRY OF GST:</t>
        </is>
      </c>
    </row>
    <row r="388">
      <c r="M388" s="3" t="n"/>
    </row>
    <row r="389">
      <c r="M389" s="75" t="inlineStr">
        <is>
          <t>HSN/SAC CODE</t>
        </is>
      </c>
      <c r="N389" s="128" t="inlineStr">
        <is>
          <t>Taxable Amount</t>
        </is>
      </c>
      <c r="O389" s="251" t="inlineStr">
        <is>
          <t>SGST/UTGST</t>
        </is>
      </c>
      <c r="P389" s="248" t="n"/>
      <c r="Q389" s="251" t="inlineStr">
        <is>
          <t>CGST</t>
        </is>
      </c>
      <c r="R389" s="248" t="n"/>
      <c r="S389" s="251" t="inlineStr">
        <is>
          <t>ISGT</t>
        </is>
      </c>
      <c r="T389" s="248" t="n"/>
      <c r="U389" s="252" t="inlineStr">
        <is>
          <t>Total Amount of GST</t>
        </is>
      </c>
      <c r="V389" s="98" t="n"/>
    </row>
    <row r="390">
      <c r="M390" s="123" t="n"/>
      <c r="N390" s="7" t="n"/>
      <c r="O390" s="74" t="inlineStr">
        <is>
          <t>Rate</t>
        </is>
      </c>
      <c r="P390" s="73" t="inlineStr">
        <is>
          <t>Amt.</t>
        </is>
      </c>
      <c r="Q390" s="121" t="inlineStr">
        <is>
          <t>Rate</t>
        </is>
      </c>
      <c r="R390" s="73" t="inlineStr">
        <is>
          <t>Amt.</t>
        </is>
      </c>
      <c r="S390" s="121" t="inlineStr">
        <is>
          <t>Rate</t>
        </is>
      </c>
      <c r="T390" s="73" t="inlineStr">
        <is>
          <t>Amt.</t>
        </is>
      </c>
      <c r="U390" s="101" t="n"/>
      <c r="V390" s="103" t="n"/>
    </row>
    <row r="391">
      <c r="B391" s="3" t="n"/>
      <c r="M391" s="112" t="n"/>
      <c r="N391" s="124">
        <f>G325+H325</f>
        <v/>
      </c>
      <c r="O391" s="112" t="n">
        <v>14</v>
      </c>
      <c r="P391" s="126">
        <f>14*N391/100</f>
        <v/>
      </c>
      <c r="Q391" s="120" t="n">
        <v>14</v>
      </c>
      <c r="R391" s="126">
        <f>P391</f>
        <v/>
      </c>
      <c r="S391" s="122" t="n"/>
      <c r="T391" s="4" t="n"/>
      <c r="U391" s="32">
        <f>P391+R391</f>
        <v/>
      </c>
      <c r="V391" s="4" t="n"/>
    </row>
    <row r="392">
      <c r="B392" s="3" t="n"/>
      <c r="M392" s="112" t="n"/>
      <c r="N392" s="124">
        <f>I325</f>
        <v/>
      </c>
      <c r="O392" s="112" t="n">
        <v>9</v>
      </c>
      <c r="P392" s="126">
        <f>9*N392/100</f>
        <v/>
      </c>
      <c r="Q392" s="120" t="n">
        <v>9</v>
      </c>
      <c r="R392" s="126">
        <f>P392</f>
        <v/>
      </c>
      <c r="S392" s="63" t="n"/>
      <c r="T392" s="4" t="n"/>
      <c r="U392" s="32">
        <f>P392+R392</f>
        <v/>
      </c>
      <c r="V392" s="4" t="n"/>
    </row>
    <row r="393">
      <c r="B393" s="3" t="n"/>
      <c r="M393" s="112" t="n"/>
      <c r="N393" s="124">
        <f>J325</f>
        <v/>
      </c>
      <c r="O393" s="112" t="n">
        <v>9</v>
      </c>
      <c r="P393" s="126">
        <f>9*N393/100</f>
        <v/>
      </c>
      <c r="Q393" s="120" t="n">
        <v>9</v>
      </c>
      <c r="R393" s="126">
        <f>P393</f>
        <v/>
      </c>
      <c r="S393" s="63" t="n"/>
      <c r="T393" s="4" t="n"/>
      <c r="U393" s="32">
        <f>P393+R393</f>
        <v/>
      </c>
      <c r="V393" s="4" t="n"/>
    </row>
    <row r="394">
      <c r="B394" s="3" t="n"/>
      <c r="M394" s="113" t="n">
        <v>998729</v>
      </c>
      <c r="N394" s="125">
        <f>I357</f>
        <v/>
      </c>
      <c r="O394" s="113" t="n">
        <v>9</v>
      </c>
      <c r="P394" s="127">
        <f>9*N394/100</f>
        <v/>
      </c>
      <c r="Q394" s="119" t="n">
        <v>9</v>
      </c>
      <c r="R394" s="127">
        <f>P394</f>
        <v/>
      </c>
      <c r="S394" s="118" t="n"/>
      <c r="T394" s="7" t="n"/>
      <c r="U394" s="28">
        <f>P394+R394</f>
        <v/>
      </c>
      <c r="V394" s="7" t="n"/>
    </row>
    <row r="395">
      <c r="M395" s="42" t="inlineStr">
        <is>
          <t>TOTAL AMOUNT OF GST ALLOWED</t>
        </is>
      </c>
      <c r="N395" s="72" t="n"/>
      <c r="O395" s="72" t="n"/>
      <c r="P395" s="72" t="n"/>
      <c r="Q395" s="109" t="n"/>
      <c r="R395" s="109" t="n"/>
      <c r="S395" s="72" t="n"/>
      <c r="T395" s="72" t="n"/>
      <c r="U395" s="85">
        <f>SUM(U391:U394)</f>
        <v/>
      </c>
      <c r="V395" s="129" t="n"/>
    </row>
    <row r="396">
      <c r="M396" s="3" t="n"/>
      <c r="N396" s="3" t="n"/>
      <c r="O396" s="3" t="n"/>
      <c r="P396" s="3" t="n"/>
      <c r="Q396" s="12" t="n"/>
      <c r="R396" s="12" t="n"/>
      <c r="S396" s="3" t="n"/>
      <c r="T396" s="3" t="n"/>
      <c r="U396" s="64" t="n"/>
      <c r="V396" s="3" t="n"/>
    </row>
    <row r="397"/>
    <row r="398">
      <c r="B398" s="3" t="n"/>
    </row>
    <row r="399">
      <c r="B399" s="3" t="n"/>
    </row>
    <row r="400">
      <c r="B400" s="3" t="n"/>
    </row>
    <row r="401">
      <c r="B401" s="3" t="n"/>
    </row>
    <row r="402">
      <c r="B402" s="3" t="n"/>
    </row>
    <row r="403">
      <c r="B403" s="3" t="n"/>
    </row>
    <row r="404">
      <c r="B404" s="3" t="n"/>
    </row>
    <row r="405">
      <c r="B405" s="3" t="n"/>
    </row>
    <row r="406">
      <c r="B406" s="3" t="n"/>
    </row>
    <row r="407">
      <c r="B407" s="3" t="n"/>
    </row>
    <row r="408">
      <c r="B408" s="3" t="n"/>
    </row>
    <row r="409">
      <c r="B409" s="3" t="n"/>
    </row>
    <row r="410">
      <c r="B410" s="3" t="n"/>
    </row>
    <row r="411">
      <c r="B411" s="3" t="n"/>
    </row>
    <row r="412">
      <c r="B412" s="3" t="n"/>
    </row>
    <row r="413">
      <c r="B413" s="3" t="n"/>
    </row>
    <row r="414">
      <c r="B414" s="3" t="n"/>
    </row>
    <row r="415">
      <c r="B415" s="3" t="n"/>
    </row>
    <row r="416">
      <c r="B416" s="3" t="n"/>
    </row>
    <row r="417">
      <c r="B417" s="3" t="n"/>
    </row>
    <row r="418">
      <c r="B418" s="3" t="n"/>
    </row>
    <row r="419">
      <c r="B419" s="3" t="n"/>
    </row>
    <row r="420">
      <c r="B420" s="3" t="n"/>
    </row>
    <row r="421">
      <c r="B421" s="3" t="n"/>
    </row>
    <row r="422">
      <c r="B422" s="3" t="n"/>
    </row>
    <row r="423">
      <c r="B423" s="3" t="n"/>
    </row>
    <row r="424">
      <c r="B424" s="3" t="n"/>
    </row>
    <row r="425">
      <c r="B425" s="3" t="n"/>
    </row>
    <row r="426">
      <c r="B426" s="3" t="n"/>
    </row>
    <row r="427">
      <c r="B427" s="3" t="n"/>
    </row>
    <row r="428">
      <c r="B428" s="3" t="n"/>
    </row>
    <row r="429">
      <c r="B429" s="3" t="n"/>
    </row>
    <row r="430">
      <c r="B430" s="3" t="n"/>
    </row>
    <row r="431">
      <c r="B431" s="3" t="n"/>
    </row>
    <row r="432">
      <c r="B432" s="3" t="n"/>
    </row>
    <row r="433">
      <c r="B433" s="3" t="n"/>
    </row>
    <row r="434">
      <c r="B434" s="3" t="n"/>
    </row>
    <row r="435">
      <c r="B435" s="3" t="n"/>
    </row>
    <row r="436">
      <c r="B436" s="3" t="n"/>
    </row>
    <row r="437">
      <c r="B437" s="3" t="n"/>
    </row>
    <row r="438">
      <c r="B438" s="3" t="n"/>
    </row>
    <row r="439">
      <c r="B439" s="3" t="n"/>
    </row>
    <row r="440">
      <c r="B440" s="3" t="n"/>
    </row>
    <row r="441">
      <c r="N441" s="13" t="n"/>
    </row>
    <row r="442">
      <c r="N442" s="13" t="n"/>
    </row>
    <row r="443">
      <c r="N443" s="13" t="n"/>
    </row>
    <row r="444">
      <c r="N444" s="13" t="n"/>
    </row>
    <row r="445">
      <c r="N445" s="13" t="n"/>
    </row>
    <row r="446">
      <c r="N446" s="13" t="n"/>
    </row>
    <row r="447">
      <c r="N447" s="13" t="n"/>
    </row>
    <row r="448">
      <c r="C448" s="1" t="inlineStr">
        <is>
          <t>Date of Registration/isurance</t>
        </is>
      </c>
      <c r="E448" s="253" t="n"/>
      <c r="F448" s="253" t="n"/>
      <c r="N448" s="13" t="n"/>
    </row>
    <row r="449">
      <c r="C449" s="1" t="inlineStr">
        <is>
          <t>Date of Accident</t>
        </is>
      </c>
      <c r="E449" s="253" t="n"/>
      <c r="F449" s="253" t="n"/>
    </row>
    <row r="450">
      <c r="E450" s="254" t="n"/>
      <c r="F450" s="254" t="n"/>
    </row>
    <row r="451">
      <c r="E451" s="250">
        <f>DAYS550(E448,E449,0)/360</f>
        <v/>
      </c>
      <c r="F451" s="250" t="n"/>
    </row>
    <row r="452"/>
    <row r="453"/>
    <row r="454"/>
    <row r="455"/>
    <row r="456"/>
    <row r="457">
      <c r="I457" s="255" t="n"/>
    </row>
  </sheetData>
  <mergeCells count="14">
    <mergeCell ref="G29:H29"/>
    <mergeCell ref="I30:J30"/>
    <mergeCell ref="I29:J29"/>
    <mergeCell ref="C81:K81"/>
    <mergeCell ref="G30:H30"/>
    <mergeCell ref="Q389:R389"/>
    <mergeCell ref="B373:K373"/>
    <mergeCell ref="U389:V390"/>
    <mergeCell ref="G28:H28"/>
    <mergeCell ref="C78:K78"/>
    <mergeCell ref="O389:P389"/>
    <mergeCell ref="I28:J28"/>
    <mergeCell ref="S389:T389"/>
    <mergeCell ref="B11:K11"/>
  </mergeCells>
  <conditionalFormatting sqref="E261:F261">
    <cfRule type="expression" priority="1" dxfId="0" stopIfTrue="1">
      <formula>DAYS360(E258,E259,0)/360</formula>
    </cfRule>
  </conditionalFormatting>
  <printOptions horizontalCentered="1"/>
  <pageMargins left="0.25" right="0.25" top="0.5" bottom="0.5" header="0" footer="0"/>
  <pageSetup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view="normal" topLeftCell="A5" workbookViewId="0">
      <selection activeCell="B48" sqref="B48"/>
    </sheetView>
  </sheetViews>
  <sheetFormatPr baseColWidth="8" defaultRowHeight="12.35"/>
  <sheetData>
    <row r="1">
      <c r="A1" s="96" t="n"/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8" t="n"/>
    </row>
    <row r="2">
      <c r="A2" s="99" t="n"/>
      <c r="L2" s="100" t="n"/>
    </row>
    <row r="3">
      <c r="A3" s="99" t="n"/>
      <c r="B3" s="1" t="n"/>
      <c r="C3" s="1" t="n"/>
      <c r="D3" s="1" t="n"/>
      <c r="E3" s="1" t="n"/>
      <c r="F3" s="1" t="n"/>
      <c r="G3" s="69" t="inlineStr">
        <is>
          <t>MOTOR SURVEY REPORT</t>
        </is>
      </c>
      <c r="H3" s="1" t="n"/>
      <c r="I3" s="1" t="n"/>
      <c r="L3" s="100" t="n"/>
    </row>
    <row r="4">
      <c r="A4" s="99" t="n"/>
      <c r="B4" s="1" t="n"/>
      <c r="C4" s="1" t="n"/>
      <c r="D4" s="1" t="n"/>
      <c r="E4" s="1" t="n"/>
      <c r="F4" s="1" t="n"/>
      <c r="G4" s="1" t="n"/>
      <c r="H4" s="1" t="n"/>
      <c r="I4" s="1" t="n"/>
      <c r="L4" s="100" t="n"/>
    </row>
    <row r="5">
      <c r="A5" s="99" t="n"/>
      <c r="B5" s="1" t="n"/>
      <c r="C5" s="1" t="n"/>
      <c r="D5" s="1" t="n"/>
      <c r="E5" s="1" t="n"/>
      <c r="F5" s="1" t="n"/>
      <c r="G5" s="1" t="n"/>
      <c r="H5" s="1" t="n"/>
      <c r="I5" s="1" t="n"/>
      <c r="L5" s="100" t="n"/>
    </row>
    <row r="6" ht="16.5" customHeight="1">
      <c r="A6" s="99" t="n"/>
      <c r="B6" s="56" t="inlineStr">
        <is>
          <t>INSURER</t>
        </is>
      </c>
      <c r="C6" s="58" t="n"/>
      <c r="D6" s="57" t="n"/>
      <c r="E6" s="1" t="n"/>
      <c r="F6" s="57">
        <f>Sheet1!G13</f>
        <v/>
      </c>
      <c r="G6" s="57" t="n"/>
      <c r="H6" s="1" t="n"/>
      <c r="I6" s="1" t="n"/>
      <c r="L6" s="100" t="n"/>
    </row>
    <row r="7" ht="33.75" customHeight="1">
      <c r="A7" s="99" t="n"/>
      <c r="B7" s="156" t="inlineStr">
        <is>
          <t>ADDRESS</t>
        </is>
      </c>
      <c r="C7" s="58" t="n"/>
      <c r="D7" s="57" t="n"/>
      <c r="E7" s="1" t="n"/>
      <c r="F7" s="256">
        <f>Sheet1!G14</f>
        <v/>
      </c>
      <c r="L7" s="100" t="n"/>
    </row>
    <row r="8">
      <c r="A8" s="99" t="n"/>
      <c r="B8" s="57" t="n"/>
      <c r="C8" s="58" t="n"/>
      <c r="D8" s="57" t="n"/>
      <c r="E8" s="1" t="n"/>
      <c r="F8" s="1">
        <f>Sheet1!G15</f>
        <v/>
      </c>
      <c r="G8" s="57" t="n"/>
      <c r="H8" s="1" t="n"/>
      <c r="I8" s="1" t="n"/>
      <c r="L8" s="100" t="n"/>
    </row>
    <row r="9">
      <c r="A9" s="99" t="n"/>
      <c r="B9" s="56" t="n"/>
      <c r="C9" s="58" t="n"/>
      <c r="D9" s="57" t="n"/>
      <c r="E9" s="1" t="n"/>
      <c r="F9" s="57" t="n"/>
      <c r="G9" s="57" t="n"/>
      <c r="H9" s="1" t="n"/>
      <c r="I9" s="1" t="n"/>
      <c r="L9" s="100" t="n"/>
    </row>
    <row r="10">
      <c r="A10" s="99" t="n"/>
      <c r="B10" s="56" t="inlineStr">
        <is>
          <t>INSURED</t>
        </is>
      </c>
      <c r="C10" s="58" t="n"/>
      <c r="D10" s="57" t="n"/>
      <c r="E10" s="1" t="n"/>
      <c r="F10" s="57">
        <f>Sheet1!G18</f>
        <v/>
      </c>
      <c r="G10" s="57" t="n"/>
      <c r="H10" s="1" t="n"/>
      <c r="I10" s="1" t="n"/>
      <c r="L10" s="100" t="n"/>
    </row>
    <row r="11">
      <c r="A11" s="99" t="n"/>
      <c r="B11" s="56" t="n"/>
      <c r="C11" s="58" t="n"/>
      <c r="D11" s="57" t="n"/>
      <c r="E11" s="1" t="n"/>
      <c r="F11" s="57" t="n"/>
      <c r="G11" s="57" t="n"/>
      <c r="H11" s="1" t="n"/>
      <c r="I11" s="1" t="n"/>
      <c r="L11" s="100" t="n"/>
    </row>
    <row r="12">
      <c r="A12" s="99" t="n"/>
      <c r="B12" s="56" t="inlineStr">
        <is>
          <t>VEHICLE REG. NO.</t>
        </is>
      </c>
      <c r="C12" s="58" t="n"/>
      <c r="D12" s="57" t="n"/>
      <c r="E12" s="1" t="n"/>
      <c r="F12" s="56">
        <f>Sheet1!G25</f>
        <v/>
      </c>
      <c r="G12" s="57" t="n"/>
      <c r="H12" s="1" t="n"/>
      <c r="I12" s="1" t="n"/>
      <c r="L12" s="100" t="n"/>
    </row>
    <row r="13">
      <c r="A13" s="99" t="n"/>
      <c r="B13" s="56" t="n"/>
      <c r="C13" s="57" t="n"/>
      <c r="D13" s="57" t="n"/>
      <c r="E13" s="1" t="n"/>
      <c r="F13" s="57" t="n"/>
      <c r="G13" s="57" t="n"/>
      <c r="H13" s="1" t="n"/>
      <c r="I13" s="1" t="n"/>
      <c r="L13" s="100" t="n"/>
    </row>
    <row r="14">
      <c r="A14" s="99" t="n"/>
      <c r="B14" s="56" t="inlineStr">
        <is>
          <t>C.NOTE/POLICY NO.</t>
        </is>
      </c>
      <c r="C14" s="57" t="n"/>
      <c r="D14" s="57" t="n"/>
      <c r="E14" s="1" t="n"/>
      <c r="F14" s="59">
        <f>Sheet1!G16</f>
        <v/>
      </c>
      <c r="G14" s="57" t="n"/>
      <c r="H14" s="1" t="n"/>
      <c r="I14" s="1" t="n"/>
      <c r="L14" s="100" t="n"/>
    </row>
    <row r="15">
      <c r="A15" s="99" t="n"/>
      <c r="B15" s="56" t="n"/>
      <c r="C15" s="57" t="n"/>
      <c r="D15" s="57" t="n"/>
      <c r="E15" s="1" t="n"/>
      <c r="F15" s="57" t="n"/>
      <c r="G15" s="57" t="n"/>
      <c r="H15" s="1" t="n"/>
      <c r="I15" s="1" t="n"/>
      <c r="L15" s="100" t="n"/>
    </row>
    <row r="16">
      <c r="A16" s="99" t="n"/>
      <c r="B16" s="56" t="inlineStr">
        <is>
          <t xml:space="preserve">PERIOD </t>
        </is>
      </c>
      <c r="C16" s="58" t="n"/>
      <c r="D16" s="57" t="n"/>
      <c r="E16" s="1" t="n"/>
      <c r="F16" s="57">
        <f>Sheet1!K16</f>
        <v/>
      </c>
      <c r="G16" s="57" t="n"/>
      <c r="H16" s="1" t="n"/>
      <c r="I16" s="1" t="n"/>
      <c r="L16" s="100" t="n"/>
    </row>
    <row r="17">
      <c r="A17" s="99" t="n"/>
      <c r="B17" s="57" t="n"/>
      <c r="C17" s="58" t="n"/>
      <c r="D17" s="57" t="n"/>
      <c r="E17" s="1" t="n"/>
      <c r="F17" s="57" t="n"/>
      <c r="G17" s="57" t="n"/>
      <c r="H17" s="1" t="n"/>
      <c r="I17" s="1" t="n"/>
      <c r="L17" s="100" t="n"/>
    </row>
    <row r="18">
      <c r="A18" s="99" t="n"/>
      <c r="B18" s="56" t="inlineStr">
        <is>
          <t>DATE OF LOSS</t>
        </is>
      </c>
      <c r="C18" s="58" t="n"/>
      <c r="D18" s="57" t="n"/>
      <c r="E18" s="1" t="n"/>
      <c r="F18" s="257">
        <f>Sheet1!G57</f>
        <v/>
      </c>
      <c r="G18" s="57" t="n"/>
      <c r="H18" s="1" t="n"/>
      <c r="I18" s="1" t="n"/>
      <c r="L18" s="100" t="n"/>
    </row>
    <row r="19">
      <c r="A19" s="99" t="n"/>
      <c r="B19" s="57" t="n"/>
      <c r="C19" s="57" t="n"/>
      <c r="D19" s="57" t="n"/>
      <c r="E19" s="57" t="n"/>
      <c r="F19" s="57" t="n"/>
      <c r="G19" s="57" t="n"/>
      <c r="H19" s="1" t="n"/>
      <c r="I19" s="1" t="n"/>
      <c r="L19" s="100" t="n"/>
    </row>
    <row r="20">
      <c r="A20" s="99" t="n"/>
      <c r="B20" s="1" t="n"/>
      <c r="C20" s="1" t="n"/>
      <c r="D20" s="1" t="n"/>
      <c r="E20" s="1" t="n"/>
      <c r="F20" s="1" t="n"/>
      <c r="G20" s="1" t="n"/>
      <c r="H20" s="1" t="n"/>
      <c r="I20" s="1" t="n"/>
      <c r="L20" s="100" t="n"/>
    </row>
    <row r="21">
      <c r="A21" s="99" t="n"/>
      <c r="B21" s="1" t="n"/>
      <c r="C21" s="1" t="n"/>
      <c r="D21" s="1" t="n"/>
      <c r="E21" s="1" t="n"/>
      <c r="F21" s="1" t="n"/>
      <c r="G21" s="1" t="n"/>
      <c r="H21" s="1" t="n"/>
      <c r="I21" s="1" t="n"/>
      <c r="L21" s="100" t="n"/>
    </row>
    <row r="22">
      <c r="A22" s="99" t="n"/>
      <c r="B22" s="1" t="n"/>
      <c r="C22" s="1" t="n"/>
      <c r="D22" s="1" t="n"/>
      <c r="E22" s="1" t="n"/>
      <c r="F22" s="1" t="n"/>
      <c r="G22" s="1" t="n"/>
      <c r="H22" s="1" t="n"/>
      <c r="I22" s="1" t="n"/>
      <c r="L22" s="100" t="n"/>
    </row>
    <row r="23">
      <c r="A23" s="99" t="n"/>
      <c r="B23" s="1" t="n"/>
      <c r="C23" s="1" t="n"/>
      <c r="D23" s="1" t="n"/>
      <c r="E23" s="1" t="n"/>
      <c r="F23" s="1" t="n"/>
      <c r="G23" s="1" t="n"/>
      <c r="H23" s="1" t="n"/>
      <c r="I23" s="1" t="n"/>
      <c r="L23" s="100" t="n"/>
    </row>
    <row r="24">
      <c r="A24" s="99" t="n"/>
      <c r="B24" s="1" t="n"/>
      <c r="C24" s="1" t="n"/>
      <c r="D24" s="1" t="n"/>
      <c r="E24" s="1" t="n"/>
      <c r="F24" s="1" t="n"/>
      <c r="G24" s="1" t="n"/>
      <c r="H24" s="1" t="n"/>
      <c r="I24" s="1" t="n"/>
      <c r="L24" s="100" t="n"/>
    </row>
    <row r="25">
      <c r="A25" s="99" t="n"/>
      <c r="B25" s="1" t="n"/>
      <c r="C25" s="1" t="n"/>
      <c r="D25" s="1" t="n"/>
      <c r="E25" s="1" t="n"/>
      <c r="F25" s="1" t="n"/>
      <c r="G25" s="1" t="n"/>
      <c r="H25" s="1" t="n"/>
      <c r="I25" s="1" t="n"/>
      <c r="L25" s="100" t="n"/>
    </row>
    <row r="26">
      <c r="A26" s="99" t="n"/>
      <c r="B26" s="131" t="inlineStr">
        <is>
          <t>PAYMENT TO BE MADE IN THE FAVOUR OF REPAIRER</t>
        </is>
      </c>
      <c r="C26" s="132" t="n"/>
      <c r="D26" s="132" t="n"/>
      <c r="E26" s="132" t="n"/>
      <c r="F26" s="132" t="n"/>
      <c r="G26" s="132" t="n"/>
      <c r="H26" s="132" t="n"/>
      <c r="I26" s="132" t="n"/>
      <c r="J26" s="133" t="n"/>
      <c r="K26" s="133" t="n"/>
      <c r="L26" s="100" t="n"/>
    </row>
    <row r="27">
      <c r="A27" s="99" t="n"/>
      <c r="B27" s="1" t="n"/>
      <c r="C27" s="1" t="n"/>
      <c r="D27" s="1" t="n"/>
      <c r="E27" s="1" t="n"/>
      <c r="F27" s="1" t="n"/>
      <c r="G27" s="1" t="n"/>
      <c r="H27" s="1" t="n"/>
      <c r="I27" s="1" t="n"/>
      <c r="L27" s="100" t="n"/>
    </row>
    <row r="28">
      <c r="A28" s="99" t="n"/>
      <c r="B28" s="1" t="n"/>
      <c r="C28" s="1" t="n"/>
      <c r="D28" s="1" t="n"/>
      <c r="E28" s="1" t="n"/>
      <c r="F28" s="1" t="n"/>
      <c r="G28" s="1" t="n"/>
      <c r="H28" s="1" t="n"/>
      <c r="I28" s="1" t="n"/>
      <c r="L28" s="100" t="n"/>
    </row>
    <row r="29">
      <c r="A29" s="99" t="n"/>
      <c r="B29" s="1" t="n"/>
      <c r="C29" s="1" t="n"/>
      <c r="D29" s="1" t="n"/>
      <c r="E29" s="1" t="n"/>
      <c r="F29" s="1" t="n"/>
      <c r="G29" s="1" t="n"/>
      <c r="H29" s="1" t="n"/>
      <c r="I29" s="1" t="n"/>
      <c r="L29" s="100" t="n"/>
    </row>
    <row r="30">
      <c r="A30" s="99" t="n"/>
      <c r="B30" s="1" t="n"/>
      <c r="C30" s="1" t="n"/>
      <c r="D30" s="1" t="n"/>
      <c r="E30" s="1" t="n"/>
      <c r="F30" s="1" t="n"/>
      <c r="G30" s="1" t="n"/>
      <c r="H30" s="1" t="n"/>
      <c r="I30" s="1" t="n"/>
      <c r="L30" s="100" t="n"/>
    </row>
    <row r="31">
      <c r="A31" s="99" t="n"/>
      <c r="B31" s="1" t="n"/>
      <c r="C31" s="1" t="n"/>
      <c r="D31" s="1" t="n"/>
      <c r="E31" s="1" t="n"/>
      <c r="F31" s="1" t="n"/>
      <c r="G31" s="1" t="n"/>
      <c r="H31" s="1" t="n"/>
      <c r="I31" s="1" t="n"/>
      <c r="L31" s="100" t="n"/>
    </row>
    <row r="32">
      <c r="A32" s="99" t="n"/>
      <c r="B32" s="1" t="n"/>
      <c r="C32" s="1" t="n"/>
      <c r="D32" s="1" t="n"/>
      <c r="E32" s="1" t="n"/>
      <c r="F32" s="1" t="n"/>
      <c r="G32" s="1" t="n"/>
      <c r="H32" s="1" t="n"/>
      <c r="I32" s="1" t="n"/>
      <c r="L32" s="100" t="n"/>
    </row>
    <row r="33">
      <c r="A33" s="99" t="n"/>
      <c r="B33" s="1" t="n"/>
      <c r="C33" s="1" t="n"/>
      <c r="D33" s="1" t="n"/>
      <c r="E33" s="1" t="n"/>
      <c r="F33" s="1" t="n"/>
      <c r="G33" s="1" t="n"/>
      <c r="H33" s="1" t="n"/>
      <c r="I33" s="1" t="n"/>
      <c r="L33" s="100" t="n"/>
    </row>
    <row r="34">
      <c r="A34" s="99" t="n"/>
      <c r="B34" s="1" t="n"/>
      <c r="C34" s="1" t="n"/>
      <c r="D34" s="1" t="n"/>
      <c r="E34" s="1" t="n"/>
      <c r="F34" s="1" t="n"/>
      <c r="G34" s="1" t="n"/>
      <c r="H34" s="1" t="n"/>
      <c r="I34" s="1" t="n"/>
      <c r="L34" s="100" t="n"/>
    </row>
    <row r="35">
      <c r="A35" s="99" t="n"/>
      <c r="B35" s="1" t="n"/>
      <c r="C35" s="1" t="n"/>
      <c r="D35" s="1" t="n"/>
      <c r="E35" s="1" t="n"/>
      <c r="F35" s="1" t="n"/>
      <c r="G35" s="1" t="n"/>
      <c r="H35" s="1" t="n"/>
      <c r="I35" s="1" t="n"/>
      <c r="L35" s="100" t="n"/>
    </row>
    <row r="36">
      <c r="A36" s="99" t="n"/>
      <c r="B36" s="1" t="n"/>
      <c r="C36" s="1" t="n"/>
      <c r="D36" s="1" t="n"/>
      <c r="E36" s="1" t="n"/>
      <c r="F36" s="1" t="n"/>
      <c r="G36" s="1" t="n"/>
      <c r="H36" s="1" t="n"/>
      <c r="I36" s="1" t="n"/>
      <c r="L36" s="100" t="n"/>
    </row>
    <row r="37">
      <c r="A37" s="99" t="n"/>
      <c r="B37" s="1" t="n"/>
      <c r="C37" s="1" t="n"/>
      <c r="D37" s="1" t="n"/>
      <c r="E37" s="1" t="n"/>
      <c r="F37" s="1" t="n"/>
      <c r="G37" s="1" t="n"/>
      <c r="H37" s="1" t="n"/>
      <c r="I37" s="1" t="n"/>
      <c r="L37" s="100" t="n"/>
    </row>
    <row r="38">
      <c r="A38" s="99" t="n"/>
      <c r="B38" s="1" t="n"/>
      <c r="C38" s="1" t="n"/>
      <c r="D38" s="1" t="n"/>
      <c r="E38" s="1" t="n"/>
      <c r="F38" s="1" t="n"/>
      <c r="G38" s="1" t="n"/>
      <c r="H38" s="1" t="n"/>
      <c r="I38" s="1" t="n"/>
      <c r="L38" s="100" t="n"/>
    </row>
    <row r="39">
      <c r="A39" s="99" t="n"/>
      <c r="B39" s="1" t="n"/>
      <c r="C39" s="1" t="n"/>
      <c r="D39" s="1" t="n"/>
      <c r="E39" s="1" t="n"/>
      <c r="F39" s="1" t="n"/>
      <c r="G39" s="1" t="n"/>
      <c r="H39" s="1" t="n"/>
      <c r="I39" s="1" t="n"/>
      <c r="L39" s="100" t="n"/>
    </row>
    <row r="40">
      <c r="A40" s="99" t="n"/>
      <c r="B40" s="1" t="n"/>
      <c r="C40" s="1" t="n"/>
      <c r="D40" s="1" t="n"/>
      <c r="E40" s="1" t="n"/>
      <c r="F40" s="1" t="n"/>
      <c r="G40" s="1" t="n"/>
      <c r="H40" s="1" t="n"/>
      <c r="I40" s="1" t="n"/>
      <c r="L40" s="100" t="n"/>
    </row>
    <row r="41">
      <c r="A41" s="99" t="n"/>
      <c r="B41" s="1" t="n"/>
      <c r="C41" s="1" t="n"/>
      <c r="D41" s="1" t="n"/>
      <c r="E41" s="1" t="n"/>
      <c r="F41" s="1" t="n"/>
      <c r="G41" s="1" t="n"/>
      <c r="H41" s="1" t="n"/>
      <c r="I41" s="1" t="n"/>
      <c r="L41" s="100" t="n"/>
    </row>
    <row r="42">
      <c r="A42" s="99" t="n"/>
      <c r="B42" s="55" t="inlineStr">
        <is>
          <t>REPORT SUBMITTED BY:</t>
        </is>
      </c>
      <c r="C42" s="1" t="n"/>
      <c r="D42" s="1" t="n"/>
      <c r="E42" s="1" t="n"/>
      <c r="F42" s="1" t="n"/>
      <c r="G42" s="1" t="n"/>
      <c r="H42" s="1" t="n"/>
      <c r="I42" s="1" t="n"/>
      <c r="L42" s="100" t="n"/>
    </row>
    <row r="43">
      <c r="A43" s="99" t="n"/>
      <c r="B43" s="3" t="n"/>
      <c r="C43" s="1" t="n"/>
      <c r="D43" s="1" t="n"/>
      <c r="E43" s="1" t="n"/>
      <c r="F43" s="1" t="n"/>
      <c r="G43" s="1" t="n"/>
      <c r="H43" s="1" t="n"/>
      <c r="I43" s="1" t="n"/>
      <c r="L43" s="100" t="n"/>
    </row>
    <row r="44">
      <c r="A44" s="99" t="n"/>
      <c r="B44" s="54" t="n"/>
      <c r="C44" s="50" t="n"/>
      <c r="D44" s="50" t="n"/>
      <c r="E44" s="50" t="n"/>
      <c r="F44" s="50" t="n"/>
      <c r="G44" s="50" t="n"/>
      <c r="H44" s="50" t="n"/>
      <c r="I44" s="50" t="n"/>
      <c r="J44" s="95" t="n"/>
      <c r="K44" s="95" t="n"/>
      <c r="L44" s="100" t="n"/>
    </row>
    <row r="45">
      <c r="A45" s="99" t="n"/>
      <c r="B45" s="3" t="n"/>
      <c r="C45" s="1" t="n"/>
      <c r="D45" s="1" t="n"/>
      <c r="E45" s="1" t="n"/>
      <c r="F45" s="1" t="n"/>
      <c r="G45" s="1" t="n"/>
      <c r="H45" s="1" t="n"/>
      <c r="I45" s="1" t="n"/>
      <c r="L45" s="100" t="n"/>
    </row>
    <row r="46">
      <c r="A46" s="99" t="n"/>
      <c r="B46" s="51" t="inlineStr">
        <is>
          <t>Er. SUNIL KUMAR</t>
        </is>
      </c>
      <c r="C46" s="1" t="n"/>
      <c r="D46" s="1" t="n"/>
      <c r="E46" s="1" t="n"/>
      <c r="F46" s="1" t="n"/>
      <c r="G46" s="1" t="inlineStr">
        <is>
          <t xml:space="preserve">          # 304, Village: Daria,</t>
        </is>
      </c>
      <c r="H46" s="1" t="n"/>
      <c r="I46" s="1" t="n"/>
      <c r="L46" s="100" t="n"/>
    </row>
    <row r="47">
      <c r="A47" s="99" t="n"/>
      <c r="B47" s="1" t="inlineStr">
        <is>
          <t>SURVEYOR &amp; LOSS ASSESSOR</t>
        </is>
      </c>
      <c r="C47" s="1" t="n"/>
      <c r="D47" s="1" t="n"/>
      <c r="E47" s="1" t="n"/>
      <c r="F47" s="1" t="n"/>
      <c r="G47" s="1" t="inlineStr">
        <is>
          <t xml:space="preserve">          Near Railway Station, Chandigarh</t>
        </is>
      </c>
      <c r="H47" s="1" t="n"/>
      <c r="I47" s="1" t="n"/>
      <c r="L47" s="100" t="n"/>
    </row>
    <row r="48">
      <c r="A48" s="99" t="n"/>
      <c r="B48" s="1" t="inlineStr">
        <is>
          <t>LICENCE NO: 73070   EXPIRY: 08.02.2028</t>
        </is>
      </c>
      <c r="C48" s="1" t="n"/>
      <c r="D48" s="1" t="n"/>
      <c r="E48" s="1" t="n"/>
      <c r="F48" s="3" t="n"/>
      <c r="G48" s="1" t="inlineStr">
        <is>
          <t xml:space="preserve">          Mobile: 098761-35253</t>
        </is>
      </c>
      <c r="H48" s="1" t="n"/>
      <c r="I48" s="1" t="n"/>
      <c r="L48" s="100" t="n"/>
    </row>
    <row r="49">
      <c r="A49" s="99" t="n"/>
      <c r="B49" s="1" t="inlineStr">
        <is>
          <t>PAN NO:  AQUPK1480C</t>
        </is>
      </c>
      <c r="C49" s="1" t="n"/>
      <c r="D49" s="1" t="n"/>
      <c r="E49" s="1" t="n"/>
      <c r="F49" s="1" t="n"/>
      <c r="G49" s="1" t="inlineStr">
        <is>
          <t xml:space="preserve">          e-mail:- ksunilsurveyor@gmail.com</t>
        </is>
      </c>
      <c r="H49" s="1" t="n"/>
      <c r="I49" s="1" t="n"/>
      <c r="L49" s="100" t="n"/>
    </row>
    <row r="50">
      <c r="A50" s="99" t="n"/>
      <c r="B50" s="1" t="n"/>
      <c r="C50" s="1" t="n"/>
      <c r="D50" s="1" t="n"/>
      <c r="E50" s="1" t="n"/>
      <c r="F50" s="1" t="n"/>
      <c r="G50" s="1" t="n"/>
      <c r="H50" s="1" t="n"/>
      <c r="I50" s="1" t="n"/>
      <c r="L50" s="100" t="n"/>
    </row>
    <row r="51">
      <c r="A51" s="101" t="n"/>
      <c r="B51" s="102" t="n"/>
      <c r="C51" s="102" t="n"/>
      <c r="D51" s="102" t="n"/>
      <c r="E51" s="102" t="n"/>
      <c r="F51" s="102" t="n"/>
      <c r="G51" s="102" t="n"/>
      <c r="H51" s="102" t="n"/>
      <c r="I51" s="102" t="n"/>
      <c r="J51" s="102" t="n"/>
      <c r="K51" s="102" t="n"/>
      <c r="L51" s="103" t="n"/>
    </row>
  </sheetData>
  <mergeCells count="1">
    <mergeCell ref="F7:K7"/>
  </mergeCells>
  <pageMargins left="0.95" right="0.2" top="0.75" bottom="0.5" header="0.3" footer="0.3"/>
  <pageSetup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59"/>
  <sheetViews>
    <sheetView view="normal" workbookViewId="0">
      <selection activeCell="Q26" sqref="Q26"/>
    </sheetView>
  </sheetViews>
  <sheetFormatPr baseColWidth="8" defaultRowHeight="13.45"/>
  <cols>
    <col width="3.833333" customWidth="1" style="1" min="1" max="1"/>
    <col width="4.5" customWidth="1" style="1" min="2" max="2"/>
    <col width="9.333333" customWidth="1" style="1" min="3" max="4"/>
    <col width="10" customWidth="1" style="1" min="5" max="5"/>
    <col width="13.666667" customWidth="1" style="1" min="6" max="6"/>
    <col width="11" customWidth="1" style="1" min="7" max="8"/>
    <col width="9.333333" customWidth="1" style="1" min="9" max="10"/>
    <col width="6.333333" customWidth="1" style="1" min="11" max="11"/>
    <col width="14.833333" customWidth="1" style="1" min="12" max="12"/>
    <col width="6.166667" customWidth="1" style="1" min="13" max="13"/>
    <col width="9.333333" customWidth="1" style="1" min="14" max="257"/>
  </cols>
  <sheetData>
    <row r="1">
      <c r="B1" s="67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87" t="n"/>
    </row>
    <row r="2">
      <c r="B2" s="2" t="n"/>
      <c r="M2" s="4" t="n"/>
    </row>
    <row r="3">
      <c r="B3" s="2" t="n"/>
      <c r="C3" s="51" t="inlineStr">
        <is>
          <t>Er. SUNIL KUMAR</t>
        </is>
      </c>
      <c r="J3" s="1" t="inlineStr">
        <is>
          <t xml:space="preserve"># 304, Village: Daria, </t>
        </is>
      </c>
      <c r="M3" s="4" t="n"/>
    </row>
    <row r="4">
      <c r="B4" s="2" t="n"/>
      <c r="C4" s="1" t="inlineStr">
        <is>
          <t>SURVEYOR &amp; LOSS ASSESSOR</t>
        </is>
      </c>
      <c r="D4" s="3" t="n"/>
      <c r="J4" s="1" t="inlineStr">
        <is>
          <t>Near Railway Station, Chandigarh</t>
        </is>
      </c>
      <c r="M4" s="4" t="n"/>
    </row>
    <row r="5">
      <c r="B5" s="2" t="n"/>
      <c r="C5" s="1" t="inlineStr">
        <is>
          <t>LICENCE NO: 73070  EXPIRY: 08.02.2028</t>
        </is>
      </c>
      <c r="I5" s="3" t="n"/>
      <c r="J5" s="1" t="inlineStr">
        <is>
          <t>Mobile: 098761-35253</t>
        </is>
      </c>
      <c r="M5" s="4" t="n"/>
    </row>
    <row r="6">
      <c r="B6" s="2" t="n"/>
      <c r="C6" s="6" t="inlineStr">
        <is>
          <t>PAN NO:  AQUPK1480C</t>
        </is>
      </c>
      <c r="D6" s="6" t="n"/>
      <c r="E6" s="6" t="n"/>
      <c r="F6" s="6" t="n"/>
      <c r="G6" s="6" t="n"/>
      <c r="H6" s="6" t="n"/>
      <c r="I6" s="6" t="n"/>
      <c r="J6" s="6" t="inlineStr">
        <is>
          <t>E-mail: ksunilsurveyor@gmail.com</t>
        </is>
      </c>
      <c r="K6" s="6" t="n"/>
      <c r="L6" s="6" t="n"/>
      <c r="M6" s="4" t="n"/>
    </row>
    <row r="7" ht="3" customHeight="1">
      <c r="B7" s="2" t="n"/>
      <c r="C7" s="50" t="n"/>
      <c r="D7" s="50" t="n"/>
      <c r="E7" s="50" t="n"/>
      <c r="F7" s="50" t="n"/>
      <c r="G7" s="50" t="n"/>
      <c r="H7" s="50" t="n"/>
      <c r="I7" s="50" t="n"/>
      <c r="J7" s="50" t="n"/>
      <c r="K7" s="50" t="n"/>
      <c r="L7" s="50" t="n"/>
      <c r="M7" s="4" t="n"/>
    </row>
    <row r="8">
      <c r="B8" s="2" t="n"/>
      <c r="C8" s="3" t="n"/>
      <c r="K8" s="8" t="n"/>
      <c r="L8" s="243" t="n"/>
      <c r="M8" s="4" t="n"/>
    </row>
    <row r="9">
      <c r="B9" s="134" t="n"/>
      <c r="M9" s="4" t="n"/>
    </row>
    <row r="10">
      <c r="B10" s="2" t="n"/>
      <c r="C10" s="3" t="inlineStr">
        <is>
          <t>Ref:</t>
        </is>
      </c>
      <c r="D10" s="1">
        <f>Sheet1!C8</f>
        <v/>
      </c>
      <c r="K10" s="8" t="inlineStr">
        <is>
          <t>Date:</t>
        </is>
      </c>
      <c r="L10" s="242">
        <f>Sheet1!K8</f>
        <v/>
      </c>
      <c r="M10" s="4" t="n"/>
    </row>
    <row r="11">
      <c r="B11" s="2" t="n"/>
      <c r="C11" s="3" t="n"/>
      <c r="K11" s="8" t="n"/>
      <c r="L11" s="243" t="n"/>
      <c r="M11" s="4" t="n"/>
    </row>
    <row r="12">
      <c r="B12" s="2" t="n"/>
      <c r="C12" s="3" t="n"/>
      <c r="F12" s="135" t="inlineStr">
        <is>
          <t>SURVEY FEE BILL</t>
        </is>
      </c>
      <c r="K12" s="8" t="n"/>
      <c r="L12" s="243" t="n"/>
      <c r="M12" s="4" t="n"/>
    </row>
    <row r="13">
      <c r="B13" s="2" t="n"/>
      <c r="F13" s="136" t="n"/>
      <c r="G13" s="137" t="n"/>
      <c r="M13" s="4" t="n"/>
    </row>
    <row r="14">
      <c r="B14" s="138" t="n"/>
      <c r="M14" s="4" t="n"/>
    </row>
    <row r="15">
      <c r="B15" s="2" t="n"/>
      <c r="C15" s="3" t="inlineStr">
        <is>
          <t>INSURED</t>
        </is>
      </c>
      <c r="G15" s="1">
        <f>Sheet1!G18</f>
        <v/>
      </c>
      <c r="M15" s="4" t="n"/>
    </row>
    <row r="16">
      <c r="B16" s="2" t="n"/>
      <c r="G16" s="1">
        <f>Sheet1!G19</f>
        <v/>
      </c>
      <c r="M16" s="4" t="n"/>
    </row>
    <row r="17">
      <c r="B17" s="138" t="n"/>
      <c r="M17" s="4" t="n"/>
    </row>
    <row r="18">
      <c r="B18" s="2" t="n"/>
      <c r="C18" s="3" t="inlineStr">
        <is>
          <t>INSURERS</t>
        </is>
      </c>
      <c r="G18" s="13">
        <f>Sheet1!G13</f>
        <v/>
      </c>
      <c r="M18" s="4" t="n"/>
    </row>
    <row r="19">
      <c r="B19" s="2" t="n"/>
      <c r="G19" s="13">
        <f>Sheet1!G14</f>
        <v/>
      </c>
      <c r="H19" s="13" t="n"/>
      <c r="M19" s="4" t="n"/>
    </row>
    <row r="20">
      <c r="B20" s="2" t="inlineStr">
        <is>
          <t>                                                                                                 </t>
        </is>
      </c>
      <c r="G20" s="13">
        <f>Sheet1!G15</f>
        <v/>
      </c>
      <c r="M20" s="4" t="n"/>
    </row>
    <row r="21">
      <c r="B21" s="2" t="n"/>
      <c r="M21" s="4" t="n"/>
    </row>
    <row r="22">
      <c r="B22" s="2" t="n"/>
      <c r="C22" s="3" t="inlineStr">
        <is>
          <t>VEHICLE/ITEM</t>
        </is>
      </c>
      <c r="G22" s="11">
        <f>Sheet1!G25</f>
        <v/>
      </c>
      <c r="M22" s="4" t="n"/>
    </row>
    <row r="23">
      <c r="B23" s="2" t="n"/>
      <c r="C23" s="1" t="inlineStr">
        <is>
          <t>Make &amp; Year of Manufacturer</t>
        </is>
      </c>
      <c r="G23" s="13">
        <f>Sheet1!G31</f>
        <v/>
      </c>
      <c r="M23" s="4" t="n"/>
    </row>
    <row r="24">
      <c r="B24" s="134" t="n"/>
      <c r="M24" s="4" t="n"/>
    </row>
    <row r="25">
      <c r="B25" s="2" t="n"/>
      <c r="C25" s="3" t="inlineStr">
        <is>
          <t>C NOTE/POLICY NO.</t>
        </is>
      </c>
      <c r="G25" s="11">
        <f>Sheet1!G16</f>
        <v/>
      </c>
      <c r="J25" s="8" t="inlineStr">
        <is>
          <t>Period:</t>
        </is>
      </c>
      <c r="K25" s="13">
        <f>Sheet1!K16</f>
        <v/>
      </c>
      <c r="M25" s="4" t="n"/>
    </row>
    <row r="26" ht="9" customHeight="1">
      <c r="B26" s="2" t="n"/>
      <c r="C26" s="47" t="n"/>
      <c r="D26" s="6" t="n"/>
      <c r="E26" s="6" t="n"/>
      <c r="F26" s="6" t="n"/>
      <c r="G26" s="108" t="n"/>
      <c r="H26" s="139" t="n"/>
      <c r="I26" s="130" t="n"/>
      <c r="J26" s="6" t="n"/>
      <c r="K26" s="6" t="n"/>
      <c r="L26" s="6" t="n"/>
      <c r="M26" s="4" t="n"/>
    </row>
    <row r="27" ht="9" customHeight="1">
      <c r="B27" s="2" t="n"/>
      <c r="C27" s="3" t="n"/>
      <c r="G27" s="11" t="n"/>
      <c r="H27" s="8" t="n"/>
      <c r="I27" s="13" t="n"/>
      <c r="M27" s="4" t="n"/>
    </row>
    <row r="28">
      <c r="B28" s="2" t="n"/>
      <c r="C28" s="3" t="inlineStr">
        <is>
          <t>PROFESSIONAL FEE</t>
        </is>
      </c>
      <c r="G28" s="53" t="inlineStr">
        <is>
          <t>Rs</t>
        </is>
      </c>
      <c r="H28" s="32" t="n">
        <v>1800</v>
      </c>
      <c r="I28" s="140" t="n"/>
      <c r="M28" s="4" t="n"/>
    </row>
    <row r="29">
      <c r="B29" s="134" t="n"/>
      <c r="G29" s="53" t="n"/>
      <c r="M29" s="4" t="n"/>
    </row>
    <row r="30">
      <c r="B30" s="2" t="n"/>
      <c r="C30" s="3" t="inlineStr">
        <is>
          <t>CONVEYANCE CHARGES</t>
        </is>
      </c>
      <c r="G30" s="53" t="inlineStr">
        <is>
          <t>Rs</t>
        </is>
      </c>
      <c r="H30" s="32" t="n">
        <v>500</v>
      </c>
      <c r="M30" s="4" t="n"/>
    </row>
    <row r="31">
      <c r="B31" s="134" t="n"/>
      <c r="G31" s="53" t="n"/>
      <c r="M31" s="4" t="n"/>
    </row>
    <row r="32">
      <c r="B32" s="2" t="n"/>
      <c r="C32" s="3" t="inlineStr">
        <is>
          <t>PHOTOGRAPHS</t>
        </is>
      </c>
      <c r="E32" s="1" t="inlineStr">
        <is>
          <t>(20x10=200.00)</t>
        </is>
      </c>
      <c r="G32" s="53" t="inlineStr">
        <is>
          <t>Rs</t>
        </is>
      </c>
      <c r="H32" s="32" t="n">
        <v>200</v>
      </c>
      <c r="M32" s="4" t="n"/>
    </row>
    <row r="33">
      <c r="B33" s="134" t="n"/>
      <c r="C33" s="1" t="inlineStr">
        <is>
          <t>(Digital Photographs)</t>
        </is>
      </c>
      <c r="G33" s="53" t="n"/>
      <c r="M33" s="4" t="n"/>
    </row>
    <row r="34">
      <c r="B34" s="134" t="n"/>
      <c r="G34" s="53" t="n"/>
      <c r="M34" s="4" t="n"/>
    </row>
    <row r="35">
      <c r="B35" s="2" t="n"/>
      <c r="C35" s="3" t="inlineStr">
        <is>
          <t>DAILY ALLOWANCE</t>
        </is>
      </c>
      <c r="G35" s="53" t="inlineStr">
        <is>
          <t>Rs</t>
        </is>
      </c>
      <c r="H35" s="32" t="n">
        <v>0</v>
      </c>
      <c r="M35" s="4" t="n"/>
    </row>
    <row r="36">
      <c r="B36" s="134" t="n"/>
      <c r="G36" s="53" t="n"/>
      <c r="M36" s="4" t="n"/>
    </row>
    <row r="37">
      <c r="B37" s="2" t="n"/>
      <c r="C37" s="3" t="inlineStr">
        <is>
          <t>MISCELLANEOUS</t>
        </is>
      </c>
      <c r="G37" s="53" t="inlineStr">
        <is>
          <t>Rs</t>
        </is>
      </c>
      <c r="H37" s="32" t="n">
        <v>0</v>
      </c>
      <c r="M37" s="4" t="n"/>
    </row>
    <row r="38">
      <c r="B38" s="2" t="n"/>
      <c r="G38" s="53" t="n"/>
      <c r="H38" s="1" t="inlineStr">
        <is>
          <t>----------------------</t>
        </is>
      </c>
      <c r="M38" s="4" t="n"/>
    </row>
    <row r="39">
      <c r="B39" s="2" t="n"/>
      <c r="F39" s="8" t="inlineStr">
        <is>
          <t>TOTAL</t>
        </is>
      </c>
      <c r="G39" s="53" t="inlineStr">
        <is>
          <t>Rs</t>
        </is>
      </c>
      <c r="H39" s="32">
        <f>SUM(H28:H37)</f>
        <v/>
      </c>
      <c r="M39" s="4" t="n"/>
    </row>
    <row r="40">
      <c r="B40" s="2" t="n"/>
      <c r="H40" s="1" t="inlineStr">
        <is>
          <t>----------------------</t>
        </is>
      </c>
      <c r="M40" s="4" t="n"/>
    </row>
    <row r="41">
      <c r="B41" s="2" t="n"/>
      <c r="M41" s="4" t="n"/>
    </row>
    <row r="42">
      <c r="B42" s="134" t="n"/>
      <c r="C42" s="13" t="n"/>
      <c r="M42" s="4" t="n"/>
    </row>
    <row r="43">
      <c r="B43" s="134" t="n"/>
      <c r="M43" s="4" t="n"/>
    </row>
    <row r="44">
      <c r="B44" s="134" t="n"/>
      <c r="C44" s="157" t="inlineStr">
        <is>
          <t>SURVEYOR CODE:</t>
        </is>
      </c>
      <c r="D44" s="158" t="n"/>
      <c r="E44" s="158" t="n"/>
      <c r="F44" s="167" t="inlineStr">
        <is>
          <t>SU00033917</t>
        </is>
      </c>
      <c r="G44" s="168" t="n"/>
      <c r="M44" s="4" t="n"/>
    </row>
    <row r="45">
      <c r="B45" s="2" t="n"/>
      <c r="M45" s="4" t="n"/>
    </row>
    <row r="46">
      <c r="B46" s="2" t="n"/>
      <c r="M46" s="4" t="n"/>
    </row>
    <row r="47">
      <c r="B47" s="2" t="n"/>
      <c r="M47" s="4" t="n"/>
    </row>
    <row r="48">
      <c r="B48" s="2" t="n"/>
      <c r="C48" s="141" t="inlineStr">
        <is>
          <t xml:space="preserve">     FOR NEFT PAYMENT</t>
        </is>
      </c>
      <c r="D48" s="142" t="n"/>
      <c r="E48" s="142" t="n"/>
      <c r="F48" s="143" t="n"/>
      <c r="J48" s="3" t="inlineStr">
        <is>
          <t>(SUNIL KUMAR)</t>
        </is>
      </c>
      <c r="M48" s="4" t="n"/>
    </row>
    <row r="49">
      <c r="B49" s="2" t="n"/>
      <c r="C49" s="144" t="n"/>
      <c r="D49" s="145" t="n"/>
      <c r="E49" s="146" t="n"/>
      <c r="F49" s="147" t="n"/>
      <c r="M49" s="4" t="n"/>
    </row>
    <row r="50">
      <c r="B50" s="2" t="n"/>
      <c r="C50" s="148" t="inlineStr">
        <is>
          <t xml:space="preserve">     BANK ACCOUNT DETAILS</t>
        </is>
      </c>
      <c r="D50" s="145" t="n"/>
      <c r="E50" s="146" t="n"/>
      <c r="F50" s="147" t="n"/>
      <c r="M50" s="4" t="n"/>
    </row>
    <row r="51">
      <c r="B51" s="2" t="n"/>
      <c r="C51" s="144" t="inlineStr">
        <is>
          <t xml:space="preserve">     BANK NAME:</t>
        </is>
      </c>
      <c r="D51" s="145" t="n"/>
      <c r="E51" s="145" t="inlineStr">
        <is>
          <t>BANK OF INDIA</t>
        </is>
      </c>
      <c r="F51" s="149" t="n"/>
      <c r="M51" s="4" t="n"/>
    </row>
    <row r="52">
      <c r="B52" s="2" t="n"/>
      <c r="C52" s="144" t="inlineStr">
        <is>
          <t xml:space="preserve">     A/C NUMBER:</t>
        </is>
      </c>
      <c r="D52" s="145" t="n"/>
      <c r="E52" s="240" t="inlineStr">
        <is>
          <t>620110110000751</t>
        </is>
      </c>
      <c r="F52" s="149" t="n"/>
      <c r="M52" s="4" t="n"/>
    </row>
    <row r="53">
      <c r="B53" s="2" t="n"/>
      <c r="C53" s="144" t="inlineStr">
        <is>
          <t xml:space="preserve">     A/C TYPE:</t>
        </is>
      </c>
      <c r="D53" s="145" t="n"/>
      <c r="E53" s="145" t="inlineStr">
        <is>
          <t>SAVING</t>
        </is>
      </c>
      <c r="F53" s="149" t="n"/>
      <c r="M53" s="4" t="n"/>
    </row>
    <row r="54">
      <c r="B54" s="2" t="n"/>
      <c r="C54" s="144" t="inlineStr">
        <is>
          <t xml:space="preserve">     IFSC CODE:</t>
        </is>
      </c>
      <c r="D54" s="145" t="n"/>
      <c r="E54" s="145" t="inlineStr">
        <is>
          <t>BKID0006201</t>
        </is>
      </c>
      <c r="F54" s="147" t="n"/>
      <c r="M54" s="4" t="n"/>
    </row>
    <row r="55">
      <c r="B55" s="2" t="n"/>
      <c r="C55" s="150" t="inlineStr">
        <is>
          <t xml:space="preserve">     MICRO CODE:</t>
        </is>
      </c>
      <c r="D55" s="151" t="n"/>
      <c r="E55" s="241" t="inlineStr">
        <is>
          <t>160013003</t>
        </is>
      </c>
      <c r="F55" s="152" t="n"/>
      <c r="M55" s="4" t="n"/>
    </row>
    <row r="56">
      <c r="B56" s="2" t="n"/>
      <c r="M56" s="4" t="n"/>
    </row>
    <row r="57">
      <c r="B57" s="2" t="n"/>
      <c r="M57" s="4" t="n"/>
    </row>
    <row r="58">
      <c r="B58" s="2" t="n"/>
      <c r="M58" s="4" t="n"/>
    </row>
    <row r="59">
      <c r="B59" s="5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7" t="n"/>
    </row>
  </sheetData>
  <printOptions horizontalCentered="1"/>
  <pageMargins left="0.45" right="0.45" top="0.5" bottom="0.5" header="0.3" footer="0.3"/>
  <pageSetup paperSize="1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8"/>
  <sheetViews>
    <sheetView view="normal" workbookViewId="0">
      <selection activeCell="G56" sqref="G56"/>
    </sheetView>
  </sheetViews>
  <sheetFormatPr baseColWidth="8" defaultRowHeight="13.45"/>
  <cols>
    <col width="4.5" customWidth="1" style="1" min="1" max="1"/>
    <col width="9.333333" customWidth="1" style="1" min="2" max="6"/>
    <col width="11.5" customWidth="1" style="1" min="7" max="7"/>
    <col width="9.333333" customWidth="1" style="1" min="8" max="257"/>
  </cols>
  <sheetData>
    <row r="1">
      <c r="A1" s="67" t="n"/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87" t="n"/>
    </row>
    <row r="2">
      <c r="A2" s="2" t="n"/>
      <c r="M2" s="4" t="n"/>
    </row>
    <row r="3">
      <c r="A3" s="2" t="n"/>
      <c r="B3" s="163" t="inlineStr">
        <is>
          <t>CASHLESS----PAYMENT TO:-</t>
        </is>
      </c>
      <c r="I3" s="56">
        <f>Sheet1!G68</f>
        <v/>
      </c>
      <c r="M3" s="4" t="n"/>
    </row>
    <row r="4">
      <c r="A4" s="2" t="n"/>
      <c r="B4" s="3" t="n"/>
      <c r="I4" s="3" t="n"/>
      <c r="M4" s="4" t="n"/>
    </row>
    <row r="5">
      <c r="A5" s="2" t="n"/>
      <c r="M5" s="4" t="n"/>
    </row>
    <row r="6">
      <c r="A6" s="162" t="n">
        <v>1</v>
      </c>
      <c r="B6" s="3" t="inlineStr">
        <is>
          <t>INSURED NAME</t>
        </is>
      </c>
      <c r="F6" s="3" t="inlineStr">
        <is>
          <t>:</t>
        </is>
      </c>
      <c r="G6" s="1">
        <f>Sheet1!G18</f>
        <v/>
      </c>
      <c r="M6" s="4" t="n"/>
    </row>
    <row r="7">
      <c r="A7" s="162" t="n">
        <v>2</v>
      </c>
      <c r="B7" s="3" t="inlineStr">
        <is>
          <t>POLICY NO. &amp; PERIOD</t>
        </is>
      </c>
      <c r="F7" s="3" t="inlineStr">
        <is>
          <t>:</t>
        </is>
      </c>
      <c r="G7" s="1">
        <f>Sheet1!G16</f>
        <v/>
      </c>
      <c r="J7" s="8" t="inlineStr">
        <is>
          <t>Period:</t>
        </is>
      </c>
      <c r="K7" s="1">
        <f>Sheet1!K16</f>
        <v/>
      </c>
      <c r="M7" s="4" t="n"/>
    </row>
    <row r="8">
      <c r="A8" s="162" t="n">
        <v>3</v>
      </c>
      <c r="B8" s="3" t="inlineStr">
        <is>
          <t>VEHICLE NO.</t>
        </is>
      </c>
      <c r="F8" s="3" t="inlineStr">
        <is>
          <t>:</t>
        </is>
      </c>
      <c r="G8" s="3">
        <f>Sheet1!G25</f>
        <v/>
      </c>
      <c r="M8" s="4" t="n"/>
    </row>
    <row r="9">
      <c r="A9" s="162" t="n">
        <v>4</v>
      </c>
      <c r="B9" s="3" t="inlineStr">
        <is>
          <t>DATE OF LOSS</t>
        </is>
      </c>
      <c r="F9" s="3" t="inlineStr">
        <is>
          <t>:</t>
        </is>
      </c>
      <c r="G9" s="1">
        <f>Sheet1!G57</f>
        <v/>
      </c>
      <c r="M9" s="4" t="n"/>
    </row>
    <row r="10">
      <c r="A10" s="162" t="n">
        <v>5</v>
      </c>
      <c r="B10" s="3" t="inlineStr">
        <is>
          <t>BILL GENERATION DATE</t>
        </is>
      </c>
      <c r="F10" s="3" t="inlineStr">
        <is>
          <t>:</t>
        </is>
      </c>
      <c r="M10" s="4" t="n"/>
    </row>
    <row r="11">
      <c r="A11" s="2" t="n"/>
      <c r="F11" s="3" t="inlineStr">
        <is>
          <t>:</t>
        </is>
      </c>
      <c r="M11" s="4" t="n"/>
    </row>
    <row r="12">
      <c r="A12" s="2" t="n"/>
      <c r="B12" s="10" t="inlineStr">
        <is>
          <t>LIST OF DOCUMENTS CHECK AND FOUIND IN ORDER</t>
        </is>
      </c>
      <c r="F12" s="3" t="n"/>
      <c r="M12" s="4" t="n"/>
    </row>
    <row r="13">
      <c r="A13" s="2" t="n"/>
      <c r="F13" s="3" t="n"/>
      <c r="M13" s="4" t="n"/>
    </row>
    <row r="14">
      <c r="A14" s="120" t="n">
        <v>1</v>
      </c>
      <c r="B14" s="1" t="inlineStr">
        <is>
          <t>SURVEOR DEPUTATION</t>
        </is>
      </c>
      <c r="F14" s="3" t="inlineStr">
        <is>
          <t>:</t>
        </is>
      </c>
      <c r="G14" s="1" t="inlineStr">
        <is>
          <t>Attached</t>
        </is>
      </c>
      <c r="M14" s="4" t="n"/>
    </row>
    <row r="15">
      <c r="A15" s="120" t="n">
        <v>2</v>
      </c>
      <c r="B15" s="1" t="inlineStr">
        <is>
          <t>INTIMATION</t>
        </is>
      </c>
      <c r="F15" s="3" t="inlineStr">
        <is>
          <t>:</t>
        </is>
      </c>
      <c r="G15" s="1" t="inlineStr">
        <is>
          <t>Attached</t>
        </is>
      </c>
      <c r="M15" s="4" t="n"/>
    </row>
    <row r="16">
      <c r="A16" s="120" t="n">
        <v>3</v>
      </c>
      <c r="B16" s="1" t="inlineStr">
        <is>
          <t>CLAIM FORM</t>
        </is>
      </c>
      <c r="F16" s="3" t="inlineStr">
        <is>
          <t>:</t>
        </is>
      </c>
      <c r="G16" s="1" t="inlineStr">
        <is>
          <t>Attached</t>
        </is>
      </c>
      <c r="M16" s="4" t="n"/>
    </row>
    <row r="17">
      <c r="A17" s="120" t="n">
        <v>4</v>
      </c>
      <c r="B17" s="1" t="inlineStr">
        <is>
          <t>POLICY COPY</t>
        </is>
      </c>
      <c r="F17" s="3" t="inlineStr">
        <is>
          <t>:</t>
        </is>
      </c>
      <c r="G17" s="1" t="inlineStr">
        <is>
          <t>Attached</t>
        </is>
      </c>
      <c r="M17" s="4" t="n"/>
    </row>
    <row r="18">
      <c r="A18" s="120" t="n">
        <v>5</v>
      </c>
      <c r="B18" s="1" t="inlineStr">
        <is>
          <t>PREVIOUS POLICY</t>
        </is>
      </c>
      <c r="F18" s="3" t="inlineStr">
        <is>
          <t>:</t>
        </is>
      </c>
      <c r="G18" s="1" t="inlineStr">
        <is>
          <t>Attached</t>
        </is>
      </c>
      <c r="M18" s="4" t="n"/>
    </row>
    <row r="19">
      <c r="A19" s="120" t="n">
        <v>6</v>
      </c>
      <c r="B19" s="1" t="inlineStr">
        <is>
          <t>TP POLICY (BUNDLED)</t>
        </is>
      </c>
      <c r="F19" s="3" t="inlineStr">
        <is>
          <t>:</t>
        </is>
      </c>
      <c r="G19" s="1" t="inlineStr">
        <is>
          <t>Attached</t>
        </is>
      </c>
      <c r="M19" s="4" t="n"/>
    </row>
    <row r="20">
      <c r="A20" s="120" t="n">
        <v>7</v>
      </c>
      <c r="B20" s="1" t="inlineStr">
        <is>
          <t>64VB</t>
        </is>
      </c>
      <c r="F20" s="3" t="inlineStr">
        <is>
          <t>:</t>
        </is>
      </c>
      <c r="G20" s="1" t="inlineStr">
        <is>
          <t>Attached</t>
        </is>
      </c>
      <c r="M20" s="4" t="n"/>
    </row>
    <row r="21">
      <c r="A21" s="120" t="n">
        <v>8</v>
      </c>
      <c r="B21" s="1" t="inlineStr">
        <is>
          <t>NO CLAIM BONUS</t>
        </is>
      </c>
      <c r="F21" s="3" t="inlineStr">
        <is>
          <t>:</t>
        </is>
      </c>
      <c r="G21" s="1" t="inlineStr">
        <is>
          <t>NIL</t>
        </is>
      </c>
      <c r="M21" s="4" t="n"/>
    </row>
    <row r="22">
      <c r="A22" s="120" t="n">
        <v>9</v>
      </c>
      <c r="B22" s="1" t="inlineStr">
        <is>
          <t>GAP REPORT</t>
        </is>
      </c>
      <c r="F22" s="3" t="inlineStr">
        <is>
          <t>:</t>
        </is>
      </c>
      <c r="G22" s="1" t="inlineStr">
        <is>
          <t>N.A.</t>
        </is>
      </c>
      <c r="M22" s="4" t="n"/>
    </row>
    <row r="23">
      <c r="A23" s="120" t="n">
        <v>10</v>
      </c>
      <c r="B23" s="1" t="inlineStr">
        <is>
          <t>DL &amp; RC</t>
        </is>
      </c>
      <c r="F23" s="3" t="inlineStr">
        <is>
          <t>:</t>
        </is>
      </c>
      <c r="G23" s="1" t="inlineStr">
        <is>
          <t>Attached</t>
        </is>
      </c>
      <c r="M23" s="4" t="n"/>
    </row>
    <row r="24">
      <c r="A24" s="120" t="n">
        <v>11</v>
      </c>
      <c r="B24" s="1" t="inlineStr">
        <is>
          <t>ONLINE VERIFICATION</t>
        </is>
      </c>
      <c r="F24" s="3" t="inlineStr">
        <is>
          <t>:</t>
        </is>
      </c>
      <c r="G24" s="1" t="inlineStr">
        <is>
          <t>Attached</t>
        </is>
      </c>
      <c r="M24" s="4" t="n"/>
    </row>
    <row r="25">
      <c r="A25" s="159" t="n">
        <v>12</v>
      </c>
      <c r="B25" s="83" t="inlineStr">
        <is>
          <t>ONLY FOR COMERCIAL VEHICLE</t>
        </is>
      </c>
      <c r="C25" s="62" t="n"/>
      <c r="D25" s="62" t="n"/>
      <c r="E25" s="62" t="n"/>
      <c r="F25" s="83" t="inlineStr">
        <is>
          <t>:</t>
        </is>
      </c>
      <c r="G25" s="83" t="inlineStr">
        <is>
          <t>PERMIT</t>
        </is>
      </c>
      <c r="H25" s="83" t="n"/>
      <c r="I25" s="62" t="n"/>
      <c r="J25" s="62" t="inlineStr">
        <is>
          <t>N.A.</t>
        </is>
      </c>
      <c r="K25" s="83" t="n"/>
      <c r="L25" s="62" t="n"/>
      <c r="M25" s="87" t="n"/>
    </row>
    <row r="26">
      <c r="A26" s="120" t="n"/>
      <c r="B26" s="3" t="n"/>
      <c r="F26" s="3" t="n"/>
      <c r="G26" s="3" t="inlineStr">
        <is>
          <t>MV TAX</t>
        </is>
      </c>
      <c r="H26" s="3" t="n"/>
      <c r="J26" s="1" t="inlineStr">
        <is>
          <t>N.A.</t>
        </is>
      </c>
      <c r="K26" s="3" t="n"/>
      <c r="M26" s="4" t="n"/>
    </row>
    <row r="27">
      <c r="A27" s="120" t="n"/>
      <c r="B27" s="3" t="n"/>
      <c r="F27" s="3" t="n"/>
      <c r="G27" s="3" t="inlineStr">
        <is>
          <t>STATE ENTRY TAX</t>
        </is>
      </c>
      <c r="H27" s="3" t="n"/>
      <c r="J27" s="1" t="inlineStr">
        <is>
          <t>N.A.</t>
        </is>
      </c>
      <c r="K27" s="3" t="n"/>
      <c r="M27" s="4" t="n"/>
    </row>
    <row r="28">
      <c r="A28" s="120" t="n"/>
      <c r="B28" s="3" t="n"/>
      <c r="F28" s="3" t="n"/>
      <c r="G28" s="3" t="inlineStr">
        <is>
          <t>AUTHORIZATION</t>
        </is>
      </c>
      <c r="H28" s="3" t="n"/>
      <c r="J28" s="1" t="inlineStr">
        <is>
          <t>N.A.</t>
        </is>
      </c>
      <c r="K28" s="3" t="n"/>
      <c r="M28" s="4" t="n"/>
    </row>
    <row r="29">
      <c r="A29" s="120" t="n"/>
      <c r="B29" s="3" t="n"/>
      <c r="F29" s="3" t="n"/>
      <c r="G29" s="3" t="inlineStr">
        <is>
          <t>FITNESS</t>
        </is>
      </c>
      <c r="H29" s="3" t="n"/>
      <c r="J29" s="1" t="inlineStr">
        <is>
          <t>N.A.</t>
        </is>
      </c>
      <c r="K29" s="3" t="n"/>
      <c r="M29" s="4" t="n"/>
    </row>
    <row r="30">
      <c r="A30" s="119" t="n"/>
      <c r="B30" s="47" t="n"/>
      <c r="C30" s="6" t="n"/>
      <c r="D30" s="6" t="n"/>
      <c r="E30" s="6" t="n"/>
      <c r="F30" s="47" t="n"/>
      <c r="G30" s="47" t="inlineStr">
        <is>
          <t>STATE ENTRY TAX</t>
        </is>
      </c>
      <c r="H30" s="47" t="n"/>
      <c r="I30" s="6" t="n"/>
      <c r="J30" s="6" t="inlineStr">
        <is>
          <t>N.A.</t>
        </is>
      </c>
      <c r="K30" s="6" t="n"/>
      <c r="L30" s="6" t="n"/>
      <c r="M30" s="7" t="n"/>
    </row>
    <row r="31">
      <c r="A31" s="120" t="n">
        <v>13</v>
      </c>
      <c r="B31" s="1" t="inlineStr">
        <is>
          <t>NO TP LOSS AFFIDAVIT</t>
        </is>
      </c>
      <c r="F31" s="3" t="inlineStr">
        <is>
          <t>:</t>
        </is>
      </c>
      <c r="G31" s="1" t="inlineStr">
        <is>
          <t>N.A.</t>
        </is>
      </c>
      <c r="M31" s="4" t="n"/>
    </row>
    <row r="32">
      <c r="A32" s="120" t="n">
        <v>14</v>
      </c>
      <c r="B32" s="1" t="inlineStr">
        <is>
          <t>KYC FORM (PAN +AADHAR)</t>
        </is>
      </c>
      <c r="F32" s="3" t="inlineStr">
        <is>
          <t>:</t>
        </is>
      </c>
      <c r="G32" s="1" t="inlineStr">
        <is>
          <t>N.A.</t>
        </is>
      </c>
      <c r="I32" s="42" t="inlineStr">
        <is>
          <t>PAN+AADHAR</t>
        </is>
      </c>
      <c r="J32" s="20" t="n"/>
      <c r="K32" s="22" t="inlineStr">
        <is>
          <t>Attached</t>
        </is>
      </c>
      <c r="M32" s="4" t="n"/>
    </row>
    <row r="33">
      <c r="A33" s="120" t="n">
        <v>15</v>
      </c>
      <c r="B33" s="1" t="inlineStr">
        <is>
          <t>PHOTOGRAPHS</t>
        </is>
      </c>
      <c r="F33" s="3" t="inlineStr">
        <is>
          <t>:</t>
        </is>
      </c>
      <c r="G33" s="1" t="inlineStr">
        <is>
          <t>Attached</t>
        </is>
      </c>
      <c r="M33" s="4" t="n"/>
    </row>
    <row r="34">
      <c r="A34" s="120" t="n">
        <v>16</v>
      </c>
      <c r="B34" s="1" t="inlineStr">
        <is>
          <t>SURVEY REPORT</t>
        </is>
      </c>
      <c r="F34" s="3" t="inlineStr">
        <is>
          <t>:</t>
        </is>
      </c>
      <c r="G34" s="1" t="inlineStr">
        <is>
          <t>Attached</t>
        </is>
      </c>
      <c r="M34" s="4" t="n"/>
    </row>
    <row r="35">
      <c r="A35" s="120" t="n">
        <v>17</v>
      </c>
      <c r="B35" s="1" t="inlineStr">
        <is>
          <t>SURVEY FEE BILL</t>
        </is>
      </c>
      <c r="F35" s="3" t="inlineStr">
        <is>
          <t>:</t>
        </is>
      </c>
      <c r="G35" s="1" t="inlineStr">
        <is>
          <t>Attached</t>
        </is>
      </c>
      <c r="M35" s="4" t="n"/>
    </row>
    <row r="36">
      <c r="A36" s="120" t="n">
        <v>18</v>
      </c>
      <c r="B36" s="1" t="inlineStr">
        <is>
          <t>ESTIMATE</t>
        </is>
      </c>
      <c r="F36" s="3" t="inlineStr">
        <is>
          <t>:</t>
        </is>
      </c>
      <c r="G36" s="1" t="inlineStr">
        <is>
          <t>Attached</t>
        </is>
      </c>
      <c r="M36" s="4" t="n"/>
    </row>
    <row r="37">
      <c r="A37" s="120" t="n">
        <v>19</v>
      </c>
      <c r="B37" s="1" t="inlineStr">
        <is>
          <t>REPAIR INVOICE</t>
        </is>
      </c>
      <c r="F37" s="3" t="inlineStr">
        <is>
          <t>:</t>
        </is>
      </c>
      <c r="G37" s="1" t="inlineStr">
        <is>
          <t>Attached</t>
        </is>
      </c>
      <c r="M37" s="4" t="n"/>
    </row>
    <row r="38">
      <c r="A38" s="120" t="n">
        <v>20</v>
      </c>
      <c r="B38" s="1" t="inlineStr">
        <is>
          <t xml:space="preserve">DEPRECIATION RECIEPT </t>
        </is>
      </c>
      <c r="F38" s="3" t="inlineStr">
        <is>
          <t>:</t>
        </is>
      </c>
      <c r="G38" s="3" t="n"/>
      <c r="M38" s="4" t="n"/>
    </row>
    <row r="39">
      <c r="A39" s="120" t="n">
        <v>21</v>
      </c>
      <c r="B39" s="1" t="inlineStr">
        <is>
          <t>INVOICE NO PART</t>
        </is>
      </c>
      <c r="F39" s="3" t="inlineStr">
        <is>
          <t>:</t>
        </is>
      </c>
      <c r="G39" s="1" t="n"/>
      <c r="M39" s="4" t="n"/>
    </row>
    <row r="40">
      <c r="A40" s="120" t="n">
        <v>22</v>
      </c>
      <c r="B40" s="1" t="inlineStr">
        <is>
          <t>INVOICE NO PART</t>
        </is>
      </c>
      <c r="F40" s="3" t="inlineStr">
        <is>
          <t>:</t>
        </is>
      </c>
      <c r="G40" s="1" t="n"/>
      <c r="M40" s="4" t="n"/>
    </row>
    <row r="41">
      <c r="A41" s="120" t="n">
        <v>23</v>
      </c>
      <c r="B41" s="1" t="inlineStr">
        <is>
          <t>ANY OTHER DOCUMENT</t>
        </is>
      </c>
      <c r="F41" s="3" t="inlineStr">
        <is>
          <t>:</t>
        </is>
      </c>
      <c r="G41" s="1" t="n"/>
      <c r="M41" s="4" t="n"/>
    </row>
    <row r="42">
      <c r="A42" s="120" t="n">
        <v>24</v>
      </c>
      <c r="B42" s="1" t="inlineStr">
        <is>
          <t>NO. OF CLAIM</t>
        </is>
      </c>
      <c r="F42" s="3" t="inlineStr">
        <is>
          <t>:</t>
        </is>
      </c>
      <c r="G42" s="13" t="n"/>
      <c r="M42" s="4" t="n"/>
    </row>
    <row r="43">
      <c r="A43" s="2" t="n"/>
      <c r="M43" s="4" t="n"/>
    </row>
    <row r="44">
      <c r="A44" s="2" t="n"/>
      <c r="B44" s="163" t="inlineStr">
        <is>
          <t>DETAIL OF ASSESSMENT</t>
        </is>
      </c>
      <c r="M44" s="4" t="n"/>
    </row>
    <row r="45">
      <c r="A45" s="2" t="n"/>
      <c r="M45" s="4" t="n"/>
    </row>
    <row r="46">
      <c r="A46" s="2" t="n"/>
      <c r="B46" s="67" t="inlineStr">
        <is>
          <t>PARTS ALLOWED</t>
        </is>
      </c>
      <c r="C46" s="62" t="n"/>
      <c r="D46" s="62" t="n"/>
      <c r="E46" s="62" t="n"/>
      <c r="F46" s="83" t="inlineStr">
        <is>
          <t>:</t>
        </is>
      </c>
      <c r="G46" s="68">
        <f>Sheet1!G174</f>
        <v/>
      </c>
      <c r="M46" s="4" t="n"/>
    </row>
    <row r="47">
      <c r="A47" s="2" t="n"/>
      <c r="B47" s="2" t="inlineStr">
        <is>
          <t>TOWING CHARGES</t>
        </is>
      </c>
      <c r="F47" s="3" t="inlineStr">
        <is>
          <t>:</t>
        </is>
      </c>
      <c r="G47" s="25" t="n">
        <v>0</v>
      </c>
      <c r="M47" s="4" t="n"/>
    </row>
    <row r="48">
      <c r="A48" s="2" t="n"/>
      <c r="B48" s="5" t="inlineStr">
        <is>
          <t>LABOUR ALLOWED</t>
        </is>
      </c>
      <c r="C48" s="6" t="n"/>
      <c r="D48" s="6" t="n"/>
      <c r="E48" s="6" t="n"/>
      <c r="F48" s="47" t="inlineStr">
        <is>
          <t>:</t>
        </is>
      </c>
      <c r="G48" s="31">
        <f>Sheet1!G175</f>
        <v/>
      </c>
      <c r="M48" s="4" t="n"/>
    </row>
    <row r="49">
      <c r="A49" s="2" t="n"/>
      <c r="B49" s="67" t="inlineStr">
        <is>
          <t>SUB TOTAL</t>
        </is>
      </c>
      <c r="C49" s="62" t="n"/>
      <c r="D49" s="62" t="n"/>
      <c r="E49" s="62" t="n"/>
      <c r="F49" s="83" t="inlineStr">
        <is>
          <t>:</t>
        </is>
      </c>
      <c r="G49" s="68">
        <f>SUM(G46:G48)</f>
        <v/>
      </c>
      <c r="M49" s="4" t="n"/>
    </row>
    <row r="50">
      <c r="A50" s="2" t="n"/>
      <c r="B50" s="5" t="inlineStr">
        <is>
          <t>LESS EXCESS CLAUSE</t>
        </is>
      </c>
      <c r="C50" s="6" t="n"/>
      <c r="D50" s="6" t="n"/>
      <c r="E50" s="6" t="n"/>
      <c r="F50" s="47" t="inlineStr">
        <is>
          <t>:</t>
        </is>
      </c>
      <c r="G50" s="31">
        <f>Sheet1!G177</f>
        <v/>
      </c>
      <c r="M50" s="4" t="n"/>
    </row>
    <row r="51">
      <c r="A51" s="2" t="n"/>
      <c r="B51" s="2" t="inlineStr">
        <is>
          <t>SUB TOTAL</t>
        </is>
      </c>
      <c r="F51" s="3" t="inlineStr">
        <is>
          <t>:</t>
        </is>
      </c>
      <c r="G51" s="25">
        <f>G49-G50</f>
        <v/>
      </c>
      <c r="M51" s="4" t="n"/>
    </row>
    <row r="52">
      <c r="A52" s="2" t="n"/>
      <c r="B52" s="5" t="inlineStr">
        <is>
          <t>LESS SALVAGE</t>
        </is>
      </c>
      <c r="C52" s="6" t="n"/>
      <c r="D52" s="6" t="n"/>
      <c r="E52" s="6" t="n"/>
      <c r="F52" s="47" t="inlineStr">
        <is>
          <t>:</t>
        </is>
      </c>
      <c r="G52" s="31">
        <f>Sheet1!G180</f>
        <v/>
      </c>
      <c r="M52" s="4" t="n"/>
    </row>
    <row r="53">
      <c r="A53" s="14" t="n"/>
      <c r="B53" s="160" t="inlineStr">
        <is>
          <t>NET PAYABLE AMOUNT</t>
        </is>
      </c>
      <c r="C53" s="161" t="n"/>
      <c r="D53" s="161" t="n"/>
      <c r="E53" s="161" t="n"/>
      <c r="F53" s="161" t="inlineStr">
        <is>
          <t>:</t>
        </is>
      </c>
      <c r="G53" s="164">
        <f>G51-G52</f>
        <v/>
      </c>
      <c r="M53" s="4" t="n"/>
    </row>
    <row r="54">
      <c r="A54" s="2" t="n"/>
      <c r="F54" s="3" t="n"/>
      <c r="M54" s="4" t="n"/>
    </row>
    <row r="55">
      <c r="A55" s="2" t="n"/>
      <c r="K55" s="3" t="inlineStr">
        <is>
          <t>(SUNIL KUMAR)</t>
        </is>
      </c>
      <c r="M55" s="4" t="n"/>
    </row>
    <row r="56">
      <c r="A56" s="2" t="n"/>
      <c r="M56" s="4" t="n"/>
    </row>
    <row r="57">
      <c r="A57" s="2" t="n"/>
      <c r="M57" s="4" t="n"/>
    </row>
    <row r="58">
      <c r="A58" s="5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7" t="n"/>
    </row>
  </sheetData>
  <printOptions horizontalCentered="1"/>
  <pageMargins left="0" right="0" top="0.5" bottom="0.5" header="0.3" footer="0.3"/>
  <pageSetup paperSize="1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G15"/>
  <sheetViews>
    <sheetView view="normal" workbookViewId="0">
      <selection activeCell="D10" sqref="D10"/>
    </sheetView>
  </sheetViews>
  <sheetFormatPr baseColWidth="8" defaultRowHeight="12.35"/>
  <cols>
    <col width="6.666667" customWidth="1" min="1" max="1"/>
    <col width="22.5" customWidth="1" min="2" max="2"/>
    <col width="23.333333" customWidth="1" min="3" max="3"/>
    <col width="14.666667" customWidth="1" min="4" max="4"/>
    <col width="14.333333" customWidth="1" min="5" max="5"/>
    <col width="13.166667" customWidth="1" min="6" max="6"/>
    <col width="13" customWidth="1" min="7" max="7"/>
  </cols>
  <sheetData>
    <row r="3">
      <c r="B3" s="51" t="inlineStr">
        <is>
          <t>VEHICLE NO.:</t>
        </is>
      </c>
      <c r="C3" s="51">
        <f>Sheet1!G25</f>
        <v/>
      </c>
    </row>
    <row r="6">
      <c r="B6" s="10" t="inlineStr">
        <is>
          <t>SUMMARRY OF GST:</t>
        </is>
      </c>
      <c r="C6" s="1" t="n"/>
      <c r="D6" s="1" t="n"/>
      <c r="E6" s="1" t="n"/>
      <c r="F6" s="1" t="n"/>
      <c r="G6" s="1" t="n"/>
    </row>
    <row r="7">
      <c r="B7" s="1" t="n"/>
      <c r="C7" s="1" t="n"/>
      <c r="D7" s="1" t="n"/>
      <c r="E7" s="1" t="n"/>
      <c r="F7" s="1" t="n"/>
      <c r="G7" s="1" t="n"/>
    </row>
    <row r="8">
      <c r="B8" s="154" t="inlineStr">
        <is>
          <t>GST % ON PARTS</t>
        </is>
      </c>
      <c r="C8" s="75" t="inlineStr">
        <is>
          <t>ACTUAL ALLOWED</t>
        </is>
      </c>
      <c r="D8" s="155" t="inlineStr">
        <is>
          <t>C GST</t>
        </is>
      </c>
      <c r="E8" s="75" t="inlineStr">
        <is>
          <t>SGDT</t>
        </is>
      </c>
      <c r="F8" s="75" t="inlineStr">
        <is>
          <t>I GST</t>
        </is>
      </c>
      <c r="G8" s="93" t="inlineStr">
        <is>
          <t>TOTAL</t>
        </is>
      </c>
    </row>
    <row r="9">
      <c r="B9" s="165" t="n">
        <v>0.18</v>
      </c>
      <c r="C9" s="35">
        <f>Sheet1!G135+Sheet1!H135+Sheet1!I135</f>
        <v/>
      </c>
      <c r="D9" s="80">
        <f>9*C9/100</f>
        <v/>
      </c>
      <c r="E9" s="35">
        <f>D9</f>
        <v/>
      </c>
      <c r="F9" s="35" t="n">
        <v>0</v>
      </c>
      <c r="G9" s="61">
        <f>D9+E9</f>
        <v/>
      </c>
    </row>
    <row r="10">
      <c r="B10" s="24" t="inlineStr">
        <is>
          <t>GRAND TOTAL</t>
        </is>
      </c>
      <c r="C10" s="91">
        <f>SUM(C9)</f>
        <v/>
      </c>
      <c r="D10" s="166">
        <f>SUM(D9)</f>
        <v/>
      </c>
      <c r="E10" s="91">
        <f>SUM(E9)</f>
        <v/>
      </c>
      <c r="F10" s="91" t="n">
        <v>0</v>
      </c>
      <c r="G10" s="90">
        <f>SUM(G9)</f>
        <v/>
      </c>
    </row>
    <row r="11">
      <c r="B11" s="1" t="n"/>
      <c r="C11" s="1" t="n"/>
      <c r="D11" s="1" t="n"/>
      <c r="E11" s="1" t="n"/>
      <c r="F11" s="1" t="n"/>
      <c r="G11" s="1" t="n"/>
    </row>
    <row r="12">
      <c r="B12" s="1" t="n"/>
      <c r="C12" s="1" t="n"/>
      <c r="D12" s="1" t="n"/>
      <c r="E12" s="1" t="n"/>
      <c r="F12" s="1" t="n"/>
      <c r="G12" s="1" t="n"/>
    </row>
    <row r="13">
      <c r="B13" s="154" t="inlineStr">
        <is>
          <t>LABOUR</t>
        </is>
      </c>
      <c r="C13" s="75" t="inlineStr">
        <is>
          <t>ACTUAL ALLOWED</t>
        </is>
      </c>
      <c r="D13" s="155" t="inlineStr">
        <is>
          <t>C GST</t>
        </is>
      </c>
      <c r="E13" s="75" t="inlineStr">
        <is>
          <t>SGDT</t>
        </is>
      </c>
      <c r="F13" s="75" t="inlineStr">
        <is>
          <t>I GST</t>
        </is>
      </c>
      <c r="G13" s="93" t="inlineStr">
        <is>
          <t>TOTAL</t>
        </is>
      </c>
    </row>
    <row r="14">
      <c r="B14" s="165" t="inlineStr">
        <is>
          <t>LABOUR 18%</t>
        </is>
      </c>
      <c r="C14" s="35">
        <f>Sheet1!H164</f>
        <v/>
      </c>
      <c r="D14" s="80">
        <f>9*C14/100</f>
        <v/>
      </c>
      <c r="E14" s="35">
        <f>D14</f>
        <v/>
      </c>
      <c r="F14" s="35" t="n">
        <v>0</v>
      </c>
      <c r="G14" s="61">
        <f>D14+E14</f>
        <v/>
      </c>
    </row>
    <row r="15">
      <c r="B15" s="24" t="inlineStr">
        <is>
          <t>GRAND TOTAL</t>
        </is>
      </c>
      <c r="C15" s="91">
        <f>SUM(C14)</f>
        <v/>
      </c>
      <c r="D15" s="166">
        <f>SUM(D14)</f>
        <v/>
      </c>
      <c r="E15" s="91">
        <f>SUM(E14)</f>
        <v/>
      </c>
      <c r="F15" s="91" t="n">
        <v>0</v>
      </c>
      <c r="G15" s="90">
        <f>SUM(G14)</f>
        <v/>
      </c>
    </row>
  </sheetData>
  <pageMargins left="0.699306" right="0.699306" top="0.75" bottom="0.75" header="0.3" footer="0.3"/>
  <pageSetup paperSize="1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103"/>
  <sheetViews>
    <sheetView view="normal" workbookViewId="0">
      <selection activeCell="D95" sqref="D95:E95"/>
    </sheetView>
  </sheetViews>
  <sheetFormatPr baseColWidth="8" defaultRowHeight="12.35"/>
  <cols>
    <col width="5" customWidth="1" min="1" max="1"/>
    <col width="5.833333" customWidth="1" min="2" max="2"/>
    <col width="9.333333" customWidth="1" min="3" max="5"/>
    <col width="13.333333" customWidth="1" min="6" max="6"/>
    <col width="16.166667" customWidth="1" min="7" max="7"/>
    <col width="9.333333" customWidth="1" min="8" max="8"/>
    <col width="12.333333" customWidth="1" min="9" max="9"/>
    <col width="9.333333" customWidth="1" min="10" max="10"/>
    <col width="11.333333" customWidth="1" min="11" max="11"/>
    <col width="9.333333" customWidth="1" min="12" max="257"/>
  </cols>
  <sheetData>
    <row r="2">
      <c r="B2" s="51" t="inlineStr">
        <is>
          <t>Er. SUNIL KUMAR</t>
        </is>
      </c>
      <c r="C2" s="1" t="n"/>
      <c r="D2" s="1" t="n"/>
      <c r="E2" s="1" t="n"/>
      <c r="F2" s="1" t="n"/>
      <c r="G2" s="1" t="n"/>
      <c r="H2" s="1" t="n"/>
      <c r="I2" s="1" t="inlineStr">
        <is>
          <t># 304, Village: Daria,</t>
        </is>
      </c>
      <c r="J2" s="1" t="n"/>
      <c r="K2" s="1" t="n"/>
    </row>
    <row r="3">
      <c r="B3" s="1" t="inlineStr">
        <is>
          <t>SURVEYOR &amp; LOSS ASSESSOR</t>
        </is>
      </c>
      <c r="C3" s="3" t="n"/>
      <c r="D3" s="1" t="n"/>
      <c r="E3" s="1" t="n"/>
      <c r="F3" s="1" t="n"/>
      <c r="G3" s="1" t="n"/>
      <c r="H3" s="1" t="n"/>
      <c r="I3" s="1" t="inlineStr">
        <is>
          <t>Near Railway Station, Chandigarh</t>
        </is>
      </c>
      <c r="J3" s="1" t="n"/>
      <c r="K3" s="1" t="n"/>
    </row>
    <row r="4">
      <c r="B4" s="1" t="inlineStr">
        <is>
          <t>LICENCE NO: 73070   EXPIRY: 08.02.2028</t>
        </is>
      </c>
      <c r="C4" s="1" t="n"/>
      <c r="D4" s="1" t="n"/>
      <c r="E4" s="1" t="n"/>
      <c r="F4" s="1" t="n"/>
      <c r="G4" s="1" t="n"/>
      <c r="H4" s="3" t="n"/>
      <c r="I4" s="1" t="inlineStr">
        <is>
          <t>Mobile: 098761-35253</t>
        </is>
      </c>
      <c r="J4" s="1" t="n"/>
      <c r="K4" s="1" t="n"/>
    </row>
    <row r="5">
      <c r="B5" s="6" t="inlineStr">
        <is>
          <t>PAN NO:  AQUPK1480C</t>
        </is>
      </c>
      <c r="C5" s="6" t="n"/>
      <c r="D5" s="6" t="n"/>
      <c r="E5" s="6" t="n"/>
      <c r="F5" s="6" t="n"/>
      <c r="G5" s="6" t="n"/>
      <c r="H5" s="6" t="n"/>
      <c r="I5" s="6" t="inlineStr">
        <is>
          <t>e-mail:- ksunilsurveyor@gmail.com</t>
        </is>
      </c>
      <c r="J5" s="6" t="n"/>
      <c r="K5" s="6" t="n"/>
    </row>
    <row r="6" ht="2.25" customHeight="1">
      <c r="B6" s="50" t="n"/>
      <c r="C6" s="50" t="n"/>
      <c r="D6" s="50" t="n"/>
      <c r="E6" s="50" t="n"/>
      <c r="F6" s="50" t="n"/>
      <c r="G6" s="50" t="n"/>
      <c r="H6" s="50" t="n"/>
      <c r="I6" s="50" t="n"/>
      <c r="J6" s="50" t="n"/>
      <c r="K6" s="50" t="n"/>
    </row>
    <row r="7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B8" s="3" t="inlineStr">
        <is>
          <t>Ref:</t>
        </is>
      </c>
      <c r="C8" s="1">
        <f>Sheet1!C8</f>
        <v/>
      </c>
      <c r="D8" s="1" t="n"/>
      <c r="E8" s="1" t="n"/>
      <c r="F8" s="1" t="n"/>
      <c r="G8" s="1" t="n"/>
      <c r="H8" s="1" t="n"/>
      <c r="I8" s="1" t="n"/>
      <c r="J8" s="8" t="inlineStr">
        <is>
          <t>Date:</t>
        </is>
      </c>
      <c r="K8" s="242">
        <f>Sheet1!K8</f>
        <v/>
      </c>
    </row>
    <row r="9">
      <c r="B9" s="3" t="n"/>
      <c r="C9" s="1" t="n"/>
      <c r="D9" s="1" t="n"/>
      <c r="E9" s="1" t="n"/>
      <c r="F9" s="1" t="n"/>
      <c r="G9" s="1" t="n"/>
      <c r="H9" s="1" t="n"/>
      <c r="I9" s="1" t="n"/>
      <c r="J9" s="8" t="n"/>
      <c r="K9" s="243" t="n"/>
    </row>
    <row r="10">
      <c r="B10" s="10" t="inlineStr">
        <is>
          <t>PRIVATE &amp; CONFIDENTIAL MOTOR RE-INSPECTION SURVEY REPORT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30" customHeight="1">
      <c r="B11" s="244" t="inlineStr">
        <is>
          <t>The report is issued by me as Licenced surveyor without prejudice in respect of cause, nature &amp; extent of loss/damages and subject to the terms and conditions of Insurance Policy.</t>
        </is>
      </c>
    </row>
    <row r="13">
      <c r="B13" s="169" t="inlineStr">
        <is>
          <t xml:space="preserve">To, </t>
        </is>
      </c>
      <c r="C13" s="170" t="n"/>
      <c r="D13" s="170" t="n"/>
      <c r="E13" s="170" t="n"/>
      <c r="F13" s="170" t="n"/>
      <c r="G13" s="170" t="n"/>
      <c r="H13" s="170" t="n"/>
      <c r="I13" s="170" t="n"/>
      <c r="J13" s="170" t="n"/>
      <c r="K13" s="1" t="n"/>
    </row>
    <row r="14" ht="12.75" customHeight="1">
      <c r="B14" s="1" t="n"/>
      <c r="C14" s="170" t="n"/>
      <c r="D14" s="170" t="n"/>
      <c r="E14" s="170" t="n"/>
      <c r="F14" s="170" t="n"/>
      <c r="G14" s="170" t="n"/>
      <c r="H14" s="170" t="n"/>
      <c r="I14" s="170" t="n"/>
      <c r="J14" s="170" t="n"/>
      <c r="K14" s="1" t="n"/>
    </row>
    <row r="15">
      <c r="B15" s="1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" t="n"/>
    </row>
    <row r="16"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B17" s="1" t="inlineStr">
        <is>
          <t xml:space="preserve">Sub: </t>
        </is>
      </c>
      <c r="C17" s="1" t="inlineStr">
        <is>
          <t xml:space="preserve">Reinspection of </t>
        </is>
      </c>
      <c r="D17" s="3" t="n"/>
      <c r="E17" s="3">
        <f>Sheet1!G25</f>
        <v/>
      </c>
      <c r="F17" s="1" t="n"/>
      <c r="G17" s="1" t="n"/>
      <c r="H17" s="1" t="n"/>
      <c r="I17" s="1" t="n"/>
      <c r="J17" s="1" t="n"/>
      <c r="K17" s="1" t="n"/>
    </row>
    <row r="18">
      <c r="B18" s="1" t="n"/>
      <c r="C18" s="1" t="inlineStr">
        <is>
          <t xml:space="preserve">A/C </t>
        </is>
      </c>
      <c r="D18" s="1">
        <f>Sheet1!G18</f>
        <v/>
      </c>
      <c r="E18" s="3" t="n"/>
      <c r="F18" s="1" t="n"/>
      <c r="G18" s="1" t="n"/>
      <c r="H18" s="1" t="inlineStr">
        <is>
          <t xml:space="preserve">         Date of Accident:</t>
        </is>
      </c>
      <c r="I18" s="1" t="n"/>
      <c r="J18" s="1">
        <f>Sheet1!N57</f>
        <v/>
      </c>
      <c r="K18" s="1" t="n"/>
    </row>
    <row r="19">
      <c r="B19" s="1" t="n"/>
      <c r="C19" s="1" t="inlineStr">
        <is>
          <t>C. No.</t>
        </is>
      </c>
      <c r="D19" s="11">
        <f>Sheet1!G16</f>
        <v/>
      </c>
      <c r="E19" s="1" t="n"/>
      <c r="F19" s="1" t="n"/>
      <c r="G19" s="8" t="inlineStr">
        <is>
          <t>Period:</t>
        </is>
      </c>
      <c r="H19" s="1">
        <f>Sheet1!K16</f>
        <v/>
      </c>
      <c r="I19" s="1" t="n"/>
      <c r="J19" s="1" t="n"/>
      <c r="K19" s="1" t="n"/>
    </row>
    <row r="20"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B21" s="1" t="inlineStr">
        <is>
          <t>Sir,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 ht="41.25" customHeight="1">
      <c r="B22" s="244" t="n"/>
      <c r="K22" s="1" t="n"/>
    </row>
    <row r="23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B24" s="3" t="inlineStr">
        <is>
          <t xml:space="preserve">Fllowing are the details: 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>
      <c r="B26" s="11" t="n">
        <v>1</v>
      </c>
      <c r="C26" s="1" t="inlineStr">
        <is>
          <t>Whether all parts allowed for replacement by final survey report have been actually been replaced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</row>
    <row r="27">
      <c r="B27" s="1" t="n"/>
      <c r="C27" s="1" t="inlineStr">
        <is>
          <t>with the new parts. The details are as under: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B29" s="71" t="inlineStr">
        <is>
          <t>S.N.</t>
        </is>
      </c>
      <c r="C29" s="72" t="inlineStr">
        <is>
          <t>Particulars</t>
        </is>
      </c>
      <c r="D29" s="72" t="n"/>
      <c r="E29" s="72" t="n"/>
      <c r="F29" s="171" t="inlineStr">
        <is>
          <t>Remarks</t>
        </is>
      </c>
      <c r="G29" s="172" t="inlineStr">
        <is>
          <t>Salvage</t>
        </is>
      </c>
      <c r="H29" s="1" t="n"/>
      <c r="I29" s="1" t="n"/>
      <c r="J29" s="1" t="n"/>
      <c r="K29" s="1" t="n"/>
    </row>
    <row r="30">
      <c r="B30" s="105" t="n"/>
      <c r="C30" s="1" t="n"/>
      <c r="D30" s="1" t="n"/>
      <c r="E30" s="4" t="n"/>
      <c r="F30" s="26" t="n"/>
      <c r="G30" s="26" t="n"/>
      <c r="H30" s="173" t="n"/>
      <c r="I30" s="1" t="n"/>
      <c r="J30" s="1" t="n"/>
      <c r="K30" s="1" t="n"/>
    </row>
    <row r="31">
      <c r="B31" s="174" t="n"/>
      <c r="C31" s="20" t="n"/>
      <c r="D31" s="20" t="n"/>
      <c r="E31" s="22" t="n"/>
      <c r="F31" s="61" t="n"/>
      <c r="G31" s="61" t="n"/>
      <c r="H31" s="173" t="n"/>
      <c r="I31" s="1" t="n"/>
      <c r="J31" s="1" t="n"/>
      <c r="K31" s="1" t="n"/>
    </row>
    <row r="32">
      <c r="B32" s="76" t="n"/>
      <c r="C32" s="1" t="n"/>
      <c r="D32" s="1" t="n"/>
      <c r="E32" s="4" t="n"/>
      <c r="F32" s="26" t="n"/>
      <c r="G32" s="26" t="n"/>
      <c r="H32" s="173" t="n"/>
      <c r="I32" s="1" t="n"/>
      <c r="J32" s="1" t="n"/>
      <c r="K32" s="1" t="n"/>
    </row>
    <row r="33">
      <c r="B33" s="174" t="n"/>
      <c r="C33" s="20" t="n"/>
      <c r="D33" s="20" t="n"/>
      <c r="E33" s="22" t="n"/>
      <c r="F33" s="61" t="n"/>
      <c r="G33" s="61" t="n"/>
      <c r="H33" s="173" t="n"/>
      <c r="I33" s="1" t="n"/>
      <c r="J33" s="1" t="n"/>
      <c r="K33" s="1" t="n"/>
    </row>
    <row r="34">
      <c r="B34" s="76" t="n"/>
      <c r="C34" s="1" t="n"/>
      <c r="D34" s="1" t="n"/>
      <c r="E34" s="4" t="n"/>
      <c r="F34" s="26" t="n"/>
      <c r="G34" s="26" t="n"/>
      <c r="H34" s="173" t="n"/>
      <c r="I34" s="1" t="n"/>
      <c r="J34" s="1" t="n"/>
      <c r="K34" s="1" t="n"/>
    </row>
    <row r="35">
      <c r="B35" s="174" t="n"/>
      <c r="C35" s="20" t="n"/>
      <c r="D35" s="20" t="n"/>
      <c r="E35" s="22" t="n"/>
      <c r="F35" s="61" t="n"/>
      <c r="G35" s="61" t="n"/>
      <c r="H35" s="173" t="n"/>
      <c r="I35" s="1" t="n"/>
      <c r="J35" s="1" t="n"/>
      <c r="K35" s="1" t="n"/>
    </row>
    <row r="36">
      <c r="B36" s="76" t="n"/>
      <c r="C36" s="1" t="n"/>
      <c r="D36" s="1" t="n"/>
      <c r="E36" s="4" t="n"/>
      <c r="F36" s="26" t="n"/>
      <c r="G36" s="26" t="n"/>
      <c r="H36" s="173" t="n"/>
      <c r="I36" s="1" t="n"/>
      <c r="J36" s="1" t="n"/>
      <c r="K36" s="1" t="n"/>
    </row>
    <row r="37">
      <c r="B37" s="174" t="n"/>
      <c r="C37" s="20" t="n"/>
      <c r="D37" s="20" t="n"/>
      <c r="E37" s="22" t="n"/>
      <c r="F37" s="61" t="n"/>
      <c r="G37" s="61" t="n"/>
      <c r="H37" s="173" t="n"/>
      <c r="I37" s="1" t="n"/>
      <c r="J37" s="1" t="n"/>
      <c r="K37" s="1" t="n"/>
    </row>
    <row r="38">
      <c r="B38" s="76" t="n"/>
      <c r="C38" s="1" t="n"/>
      <c r="D38" s="1" t="n"/>
      <c r="E38" s="4" t="n"/>
      <c r="F38" s="26" t="n"/>
      <c r="G38" s="26" t="n"/>
      <c r="H38" s="173" t="n"/>
      <c r="I38" s="1" t="n"/>
      <c r="J38" s="1" t="n"/>
      <c r="K38" s="1" t="n"/>
    </row>
    <row r="39">
      <c r="B39" s="174" t="n"/>
      <c r="C39" s="20" t="n"/>
      <c r="D39" s="20" t="n"/>
      <c r="E39" s="22" t="n"/>
      <c r="F39" s="61" t="n"/>
      <c r="G39" s="61" t="n"/>
      <c r="H39" s="173" t="n"/>
      <c r="I39" s="1" t="n"/>
      <c r="J39" s="1" t="n"/>
      <c r="K39" s="1" t="n"/>
    </row>
    <row r="40">
      <c r="B40" s="76" t="n"/>
      <c r="C40" s="1" t="n"/>
      <c r="D40" s="1" t="n"/>
      <c r="E40" s="4" t="n"/>
      <c r="F40" s="26" t="n"/>
      <c r="G40" s="26" t="n"/>
      <c r="H40" s="173" t="n"/>
      <c r="I40" s="1" t="n"/>
      <c r="J40" s="1" t="n"/>
      <c r="K40" s="1" t="n"/>
    </row>
    <row r="41">
      <c r="B41" s="174" t="n"/>
      <c r="C41" s="20" t="n"/>
      <c r="D41" s="20" t="n"/>
      <c r="E41" s="22" t="n"/>
      <c r="F41" s="61" t="n"/>
      <c r="G41" s="61" t="n"/>
      <c r="H41" s="173" t="n"/>
      <c r="I41" s="1" t="n"/>
      <c r="J41" s="1" t="n"/>
      <c r="K41" s="1" t="n"/>
    </row>
    <row r="42">
      <c r="B42" s="76" t="n"/>
      <c r="C42" s="1" t="n"/>
      <c r="D42" s="1" t="n"/>
      <c r="E42" s="4" t="n"/>
      <c r="F42" s="26" t="n"/>
      <c r="G42" s="26" t="n"/>
      <c r="H42" s="173" t="n"/>
      <c r="I42" s="1" t="n"/>
      <c r="J42" s="1" t="n"/>
      <c r="K42" s="1" t="n"/>
    </row>
    <row r="43">
      <c r="B43" s="174" t="n"/>
      <c r="C43" s="20" t="n"/>
      <c r="D43" s="20" t="n"/>
      <c r="E43" s="22" t="n"/>
      <c r="F43" s="61" t="n"/>
      <c r="G43" s="61" t="n"/>
      <c r="H43" s="173" t="n"/>
      <c r="I43" s="1" t="n"/>
      <c r="J43" s="1" t="n"/>
      <c r="K43" s="1" t="n"/>
    </row>
    <row r="44">
      <c r="B44" s="76" t="n"/>
      <c r="C44" s="1" t="n"/>
      <c r="D44" s="1" t="n"/>
      <c r="E44" s="4" t="n"/>
      <c r="F44" s="26" t="n"/>
      <c r="G44" s="26" t="n"/>
      <c r="H44" s="173" t="n"/>
      <c r="I44" s="1" t="n"/>
      <c r="J44" s="1" t="n"/>
      <c r="K44" s="1" t="n"/>
    </row>
    <row r="45">
      <c r="B45" s="174" t="n"/>
      <c r="C45" s="20" t="n"/>
      <c r="D45" s="20" t="n"/>
      <c r="E45" s="22" t="n"/>
      <c r="F45" s="61" t="n"/>
      <c r="G45" s="61" t="n"/>
      <c r="H45" s="173" t="n"/>
      <c r="I45" s="1" t="n"/>
      <c r="J45" s="1" t="n"/>
      <c r="K45" s="1" t="n"/>
    </row>
    <row r="46">
      <c r="B46" s="76" t="n"/>
      <c r="C46" s="1" t="n"/>
      <c r="D46" s="1" t="n"/>
      <c r="E46" s="4" t="n"/>
      <c r="F46" s="26" t="n"/>
      <c r="G46" s="26" t="n"/>
      <c r="H46" s="173" t="n"/>
      <c r="I46" s="1" t="n"/>
      <c r="J46" s="1" t="n"/>
      <c r="K46" s="1" t="n"/>
    </row>
    <row r="47">
      <c r="B47" s="174" t="n"/>
      <c r="C47" s="20" t="n"/>
      <c r="D47" s="20" t="n"/>
      <c r="E47" s="22" t="n"/>
      <c r="F47" s="61" t="n"/>
      <c r="G47" s="61" t="n"/>
      <c r="H47" s="173" t="n"/>
      <c r="I47" s="1" t="n"/>
      <c r="J47" s="1" t="n"/>
      <c r="K47" s="1" t="n"/>
    </row>
    <row r="48">
      <c r="B48" s="76" t="n"/>
      <c r="C48" s="20" t="n"/>
      <c r="D48" s="20" t="n"/>
      <c r="E48" s="22" t="n"/>
      <c r="F48" s="61" t="n"/>
      <c r="G48" s="61" t="n"/>
      <c r="H48" s="173" t="n"/>
      <c r="I48" s="1" t="n"/>
      <c r="J48" s="1" t="n"/>
      <c r="K48" s="1" t="n"/>
    </row>
    <row r="49">
      <c r="B49" s="174" t="n"/>
      <c r="C49" s="20" t="n"/>
      <c r="D49" s="20" t="n"/>
      <c r="E49" s="22" t="n"/>
      <c r="F49" s="61" t="n"/>
      <c r="G49" s="61" t="n"/>
      <c r="H49" s="173" t="n"/>
      <c r="I49" s="1" t="n"/>
      <c r="J49" s="1" t="n"/>
      <c r="K49" s="1" t="n"/>
    </row>
    <row r="50">
      <c r="B50" s="76" t="n"/>
      <c r="C50" s="1" t="n"/>
      <c r="D50" s="1" t="n"/>
      <c r="E50" s="4" t="n"/>
      <c r="F50" s="26" t="n"/>
      <c r="G50" s="26" t="n"/>
      <c r="H50" s="173" t="n"/>
      <c r="I50" s="1" t="n"/>
      <c r="J50" s="1" t="n"/>
      <c r="K50" s="1" t="n"/>
    </row>
    <row r="51">
      <c r="B51" s="174" t="n"/>
      <c r="C51" s="20" t="n"/>
      <c r="D51" s="20" t="n"/>
      <c r="E51" s="22" t="n"/>
      <c r="F51" s="61" t="n"/>
      <c r="G51" s="61" t="n"/>
      <c r="H51" s="173" t="n"/>
      <c r="I51" s="1" t="n"/>
      <c r="J51" s="1" t="n"/>
      <c r="K51" s="1" t="n"/>
    </row>
    <row r="52">
      <c r="B52" s="76" t="n"/>
      <c r="C52" s="1" t="n"/>
      <c r="D52" s="1" t="n"/>
      <c r="E52" s="4" t="n"/>
      <c r="F52" s="26" t="n"/>
      <c r="G52" s="26" t="n"/>
      <c r="H52" s="173" t="n"/>
      <c r="I52" s="1" t="n"/>
      <c r="J52" s="1" t="n"/>
      <c r="K52" s="1" t="n"/>
    </row>
    <row r="53">
      <c r="B53" s="174" t="n"/>
      <c r="C53" s="20" t="n"/>
      <c r="D53" s="20" t="n"/>
      <c r="E53" s="22" t="n"/>
      <c r="F53" s="61" t="n"/>
      <c r="G53" s="61" t="n"/>
      <c r="H53" s="173" t="n"/>
      <c r="I53" s="1" t="n"/>
      <c r="J53" s="1" t="n"/>
      <c r="K53" s="1" t="n"/>
    </row>
    <row r="54">
      <c r="B54" s="76" t="n"/>
      <c r="C54" s="1" t="n"/>
      <c r="D54" s="1" t="n"/>
      <c r="E54" s="4" t="n"/>
      <c r="F54" s="26" t="n"/>
      <c r="G54" s="26" t="n"/>
      <c r="H54" s="173" t="n"/>
      <c r="I54" s="1" t="n"/>
      <c r="J54" s="1" t="n"/>
      <c r="K54" s="1" t="n"/>
    </row>
    <row r="55">
      <c r="B55" s="174" t="n"/>
      <c r="C55" s="20" t="n"/>
      <c r="D55" s="20" t="n"/>
      <c r="E55" s="22" t="n"/>
      <c r="F55" s="61" t="n"/>
      <c r="G55" s="61" t="n"/>
      <c r="H55" s="173" t="n"/>
      <c r="I55" s="1" t="n"/>
      <c r="J55" s="1" t="n"/>
      <c r="K55" s="1" t="n"/>
    </row>
    <row r="56">
      <c r="B56" s="76" t="n"/>
      <c r="C56" s="1" t="n"/>
      <c r="D56" s="1" t="n"/>
      <c r="E56" s="4" t="n"/>
      <c r="F56" s="26" t="n"/>
      <c r="G56" s="26" t="n"/>
      <c r="H56" s="173" t="n"/>
      <c r="I56" s="1" t="n"/>
      <c r="J56" s="1" t="n"/>
      <c r="K56" s="1" t="n"/>
    </row>
    <row r="57">
      <c r="B57" s="174" t="n"/>
      <c r="C57" s="20" t="n"/>
      <c r="D57" s="20" t="n"/>
      <c r="E57" s="22" t="n"/>
      <c r="F57" s="61" t="n"/>
      <c r="G57" s="61" t="n"/>
      <c r="H57" s="173" t="n"/>
      <c r="I57" s="1" t="n"/>
      <c r="J57" s="1" t="n"/>
      <c r="K57" s="1" t="n"/>
    </row>
    <row r="58">
      <c r="B58" s="13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B59" s="11" t="n">
        <v>2</v>
      </c>
      <c r="C59" s="3" t="inlineStr">
        <is>
          <t>Salvage:</t>
        </is>
      </c>
      <c r="D59" s="1" t="n"/>
      <c r="E59" s="1" t="n"/>
      <c r="F59" s="173" t="n"/>
      <c r="G59" s="173" t="n"/>
      <c r="H59" s="32" t="n"/>
      <c r="I59" s="32" t="n"/>
      <c r="J59" s="1" t="n"/>
      <c r="K59" s="1" t="n"/>
    </row>
    <row r="60">
      <c r="B60" s="13" t="n"/>
      <c r="C60" s="1" t="n"/>
      <c r="D60" s="1" t="n"/>
      <c r="E60" s="1" t="n"/>
      <c r="F60" s="32" t="n"/>
      <c r="G60" s="175" t="n"/>
      <c r="H60" s="32" t="n"/>
      <c r="I60" s="32" t="n"/>
      <c r="J60" s="1" t="n"/>
      <c r="K60" s="1" t="n"/>
    </row>
    <row r="61"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" t="n"/>
    </row>
    <row r="62">
      <c r="B62" s="11" t="n">
        <v>3</v>
      </c>
      <c r="C62" s="3" t="inlineStr">
        <is>
          <t>Labour/Repair</t>
        </is>
      </c>
      <c r="D62" s="1" t="n"/>
      <c r="E62" s="1" t="n"/>
      <c r="F62" s="32" t="n"/>
      <c r="G62" s="175" t="n"/>
      <c r="H62" s="32" t="n"/>
      <c r="I62" s="32" t="n"/>
      <c r="J62" s="1" t="n"/>
      <c r="K62" s="1" t="n"/>
    </row>
    <row r="63">
      <c r="B63" s="13" t="n"/>
      <c r="C63" s="1" t="n"/>
      <c r="D63" s="1" t="n"/>
      <c r="E63" s="1" t="n"/>
      <c r="F63" s="32" t="n"/>
      <c r="G63" s="175" t="n"/>
      <c r="H63" s="32" t="n"/>
      <c r="I63" s="32" t="n"/>
      <c r="J63" s="1" t="n"/>
      <c r="K63" s="1" t="n"/>
    </row>
    <row r="64">
      <c r="B64" s="1" t="n"/>
      <c r="C64" s="1" t="n"/>
      <c r="D64" s="1" t="n"/>
      <c r="E64" s="1" t="n"/>
      <c r="F64" s="1" t="n"/>
      <c r="G64" s="1" t="n"/>
      <c r="H64" s="173" t="n"/>
      <c r="I64" s="1" t="n"/>
      <c r="J64" s="1" t="n"/>
      <c r="K64" s="1" t="n"/>
    </row>
    <row r="65"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" t="n"/>
    </row>
    <row r="66"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" t="n"/>
    </row>
    <row r="67"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" t="n"/>
    </row>
    <row r="68"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" t="n"/>
    </row>
    <row r="69"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" t="n"/>
    </row>
    <row r="70"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" t="n"/>
    </row>
    <row r="71"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" t="n"/>
    </row>
    <row r="72"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" t="n"/>
    </row>
    <row r="73"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" t="n"/>
    </row>
    <row r="74"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" t="n"/>
    </row>
    <row r="75">
      <c r="B75" s="176" t="n">
        <v>4</v>
      </c>
      <c r="C75" s="258" t="inlineStr">
        <is>
          <t>Remarks</t>
        </is>
      </c>
      <c r="E75" s="17" t="n"/>
      <c r="F75" s="17" t="n"/>
      <c r="G75" s="17" t="n"/>
      <c r="H75" s="17" t="n"/>
      <c r="I75" s="17" t="n"/>
      <c r="J75" s="17" t="n"/>
      <c r="K75" s="1" t="n"/>
    </row>
    <row r="76" ht="32.25" customHeight="1">
      <c r="B76" s="18" t="n"/>
      <c r="C76" s="244" t="n"/>
      <c r="K76" s="1" t="n"/>
    </row>
    <row r="77"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" t="n"/>
    </row>
    <row r="78">
      <c r="B78" s="244" t="inlineStr">
        <is>
          <t>The re-inspection report is " without prejudice"</t>
        </is>
      </c>
      <c r="H78" s="18" t="n"/>
      <c r="I78" s="18" t="n"/>
      <c r="J78" s="18" t="n"/>
      <c r="K78" s="1" t="n"/>
    </row>
    <row r="79">
      <c r="B79" s="3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B80" s="1" t="inlineStr">
        <is>
          <t>Thanking you</t>
        </is>
      </c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B81" s="3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B82" s="3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B84" s="3" t="inlineStr">
        <is>
          <t>Er. SUNIL KUMAR</t>
        </is>
      </c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B85" s="3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B86" s="3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B87" s="3" t="inlineStr">
        <is>
          <t>Enclosures:</t>
        </is>
      </c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B88" s="1" t="n">
        <v>1</v>
      </c>
      <c r="C88" s="1" t="inlineStr">
        <is>
          <t>Final survey report</t>
        </is>
      </c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B89" s="1" t="n">
        <v>2</v>
      </c>
      <c r="C89" s="1" t="inlineStr">
        <is>
          <t xml:space="preserve">Re-inspection report &amp; photographs </t>
        </is>
      </c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B90" s="1" t="n">
        <v>3</v>
      </c>
      <c r="C90" s="1" t="inlineStr">
        <is>
          <t>Survey fee bill</t>
        </is>
      </c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B91" s="3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B92" s="1" t="inlineStr">
        <is>
          <t>I have physically verified the following Major Assembilies:</t>
        </is>
      </c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B93" s="3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B94" s="1" t="inlineStr">
        <is>
          <t>Chassis No.</t>
        </is>
      </c>
      <c r="C94" s="1" t="n"/>
      <c r="D94" s="259">
        <f>Sheet1!G29</f>
        <v/>
      </c>
      <c r="F94" s="1" t="n"/>
      <c r="G94" s="13" t="n"/>
      <c r="H94" s="1" t="n"/>
      <c r="I94" s="1" t="n"/>
      <c r="J94" s="1" t="n"/>
      <c r="K94" s="1" t="n"/>
    </row>
    <row r="95">
      <c r="B95" s="1" t="inlineStr">
        <is>
          <t>Engine No.</t>
        </is>
      </c>
      <c r="C95" s="1" t="n"/>
      <c r="D95" s="259">
        <f>Sheet1!G30</f>
        <v/>
      </c>
      <c r="F95" s="1" t="n"/>
      <c r="G95" s="1" t="n"/>
      <c r="H95" s="1" t="n"/>
      <c r="I95" s="1" t="n"/>
      <c r="J95" s="1" t="n"/>
      <c r="K95" s="1" t="n"/>
    </row>
    <row r="96"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</sheetData>
  <mergeCells count="7">
    <mergeCell ref="D95:E95"/>
    <mergeCell ref="B22:J22"/>
    <mergeCell ref="B78:G78"/>
    <mergeCell ref="C75:D75"/>
    <mergeCell ref="C76:J76"/>
    <mergeCell ref="D94:E94"/>
    <mergeCell ref="B11:K11"/>
  </mergeCells>
  <pageMargins left="0.699306" right="0.699306" top="0.75" bottom="0.75" header="0.3" footer="0.3"/>
  <pageSetup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jaswinder</dc:creator>
  <dcterms:created xsi:type="dcterms:W3CDTF">2026-03-26T07:24:38Z</dcterms:created>
  <dcterms:modified xsi:type="dcterms:W3CDTF">2026-03-26T22:35:30Z</dcterms:modified>
  <cp:lastModifiedBy>Souradeep Das</cp:lastModifiedBy>
  <cp:revision>0</cp:revision>
</cp:coreProperties>
</file>